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い方" sheetId="1" state="visible" r:id="rId1"/>
    <sheet name="コピペ早見表" sheetId="2" state="visible" r:id="rId2"/>
    <sheet name="忍者シリーズ" sheetId="3" state="visible" r:id="rId3"/>
    <sheet name="ダンス差分" sheetId="4" state="visible" r:id="rId4"/>
    <sheet name="キャラ一覧" sheetId="5" state="visible" r:id="rId5"/>
    <sheet name="共通スタイル" sheetId="6" state="visible" r:id="rId6"/>
    <sheet name="動画企画案" sheetId="7" state="visible" r:id="rId7"/>
    <sheet name="歌詞" sheetId="8" state="visible" r:id="rId8"/>
  </sheets>
  <definedNames>
    <definedName name="_xlnm._FilterDatabase" localSheetId="4" hidden="1">'キャラ一覧'!$A$1:$Q$28</definedName>
    <definedName name="_xlnm._FilterDatabase" localSheetId="5" hidden="1">'共通スタイル'!$A$1:$C$19</definedName>
    <definedName name="_xlnm._FilterDatabase" localSheetId="6" hidden="1">'動画企画案'!$A$1:$J$11</definedName>
    <definedName name="_xlnm._FilterDatabase" localSheetId="7" hidden="1">'歌詞'!$A$1:$I$11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2E4A62"/>
      <sz val="16"/>
    </font>
    <font>
      <name val="Arial"/>
      <sz val="11"/>
    </font>
    <font>
      <name val="Arial"/>
      <b val="1"/>
      <color rgb="00FFFFFF"/>
      <sz val="12"/>
    </font>
    <font>
      <name val="Arial"/>
      <b val="1"/>
      <sz val="11"/>
    </font>
    <font>
      <name val="Arial"/>
      <b val="1"/>
      <sz val="10"/>
    </font>
  </fonts>
  <fills count="8">
    <fill>
      <patternFill/>
    </fill>
    <fill>
      <patternFill patternType="gray125"/>
    </fill>
    <fill>
      <patternFill patternType="solid">
        <fgColor rgb="002E4A62"/>
      </patternFill>
    </fill>
    <fill>
      <patternFill patternType="solid">
        <fgColor rgb="00C55A11"/>
      </patternFill>
    </fill>
    <fill>
      <patternFill patternType="solid">
        <fgColor rgb="00FCE4D6"/>
      </patternFill>
    </fill>
    <fill>
      <patternFill patternType="solid">
        <fgColor rgb="00548235"/>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2" borderId="0" applyAlignment="1" pivotButton="0" quotePrefix="0" xfId="0">
      <alignment vertical="center" wrapText="1"/>
    </xf>
    <xf numFmtId="0" fontId="6" fillId="4" borderId="0" applyAlignment="1" pivotButton="0" quotePrefix="0" xfId="0">
      <alignment vertical="center" wrapText="1"/>
    </xf>
    <xf numFmtId="0" fontId="6" fillId="6" borderId="0" applyAlignment="1" pivotButton="0" quotePrefix="0" xfId="0">
      <alignment vertical="center" wrapText="1"/>
    </xf>
    <xf numFmtId="0" fontId="1" fillId="3"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4" borderId="1" applyAlignment="1" pivotButton="0" quotePrefix="0" xfId="0">
      <alignment vertical="top" wrapText="1"/>
    </xf>
    <xf numFmtId="0" fontId="2" fillId="6" borderId="1" applyAlignment="1" pivotButton="0" quotePrefix="0" xfId="0">
      <alignment vertical="top" wrapText="1"/>
    </xf>
    <xf numFmtId="0" fontId="4" fillId="0" borderId="0" applyAlignment="1" pivotButton="0" quotePrefix="0" xfId="0">
      <alignment wrapText="1"/>
    </xf>
    <xf numFmtId="0" fontId="5" fillId="2" borderId="0" applyAlignment="1" pivotButton="0" quotePrefix="0" xfId="0">
      <alignment wrapText="1"/>
    </xf>
    <xf numFmtId="0" fontId="2" fillId="7" borderId="1" applyAlignment="1" pivotButton="0" quotePrefix="0" xfId="0">
      <alignment vertical="top" wrapText="1"/>
    </xf>
    <xf numFmtId="0" fontId="7"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4A62"/>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4" t="inlineStr">
        <is>
          <t>このファイルの使い方</t>
        </is>
      </c>
    </row>
    <row r="2">
      <c r="A2" s="5" t="inlineStr">
        <is>
          <t>このファイル1つで全部見られます。下のタブ（シート）を切り替えてください。CSVと lyrics フォルダは予備なので開かなくてOKです。</t>
        </is>
      </c>
    </row>
    <row r="3">
      <c r="A3" s="5" t="inlineStr"/>
    </row>
    <row r="4">
      <c r="A4" s="6" t="inlineStr">
        <is>
          <t>シート一覧</t>
        </is>
      </c>
    </row>
    <row r="5">
      <c r="A5" s="5" t="inlineStr">
        <is>
          <t>コピペ早見表 … 企画ごとに、SunoとChatGPTに貼るものだけを横一列にまとめた表。普段はここだけ見ればOK</t>
        </is>
      </c>
    </row>
    <row r="6">
      <c r="A6" s="5" t="inlineStr">
        <is>
          <t>キャラ一覧 … 27キャラの設定。キャラ単体の画像を作るときは緑の列をコピペ</t>
        </is>
      </c>
    </row>
    <row r="7">
      <c r="A7" s="5" t="inlineStr">
        <is>
          <t>共通スタイル … 絵柄をそろえるコツ、Sunoのタグ集</t>
        </is>
      </c>
    </row>
    <row r="8">
      <c r="A8" s="5" t="inlineStr">
        <is>
          <t>動画企画案 … 10本の企画、動画タイトル、サムネ用プロンプト</t>
        </is>
      </c>
    </row>
    <row r="9">
      <c r="A9" s="5" t="inlineStr">
        <is>
          <t>歌詞 … 10曲の歌詞・元ネタ・伝承</t>
        </is>
      </c>
    </row>
    <row r="10">
      <c r="A10" s="5" t="inlineStr"/>
    </row>
    <row r="11">
      <c r="A11" s="6" t="inlineStr">
        <is>
          <t>色の見方</t>
        </is>
      </c>
    </row>
    <row r="12">
      <c r="A12" s="7" t="inlineStr">
        <is>
          <t>オレンジの列 ＝ Suno に貼る</t>
        </is>
      </c>
    </row>
    <row r="13">
      <c r="A13" s="8" t="inlineStr">
        <is>
          <t>緑の列 ＝ ChatGPT に貼る（画像生成）</t>
        </is>
      </c>
    </row>
    <row r="14">
      <c r="A14" s="5" t="inlineStr"/>
    </row>
    <row r="15">
      <c r="A15" s="6" t="inlineStr">
        <is>
          <t>Sunoで1曲作る手順（コピペ早見表を使用）</t>
        </is>
      </c>
    </row>
    <row r="16">
      <c r="A16" s="5" t="inlineStr">
        <is>
          <t>1. Sunoで「Custom」モードにする（Instrumental はオフ）</t>
        </is>
      </c>
    </row>
    <row r="17">
      <c r="A17" s="5" t="inlineStr">
        <is>
          <t>2. ① をコピー → Title 欄に貼る</t>
        </is>
      </c>
    </row>
    <row r="18">
      <c r="A18" s="5" t="inlineStr">
        <is>
          <t>3. ② をコピー → Style of Music 欄に貼る</t>
        </is>
      </c>
    </row>
    <row r="19">
      <c r="A19" s="5" t="inlineStr">
        <is>
          <t>4. ③ をコピー → Lyrics 欄に貼る</t>
        </is>
      </c>
    </row>
    <row r="20">
      <c r="A20" s="5" t="inlineStr">
        <is>
          <t>5. Create を押す（2曲できるので良いほうを残す）</t>
        </is>
      </c>
    </row>
    <row r="21">
      <c r="A21" s="5" t="inlineStr"/>
    </row>
    <row r="22">
      <c r="A22" s="6" t="inlineStr">
        <is>
          <t>ChatGPTでサムネを作る手順</t>
        </is>
      </c>
    </row>
    <row r="23">
      <c r="A23" s="5" t="inlineStr">
        <is>
          <t>1. ChatGPTで新しいチャットを開く</t>
        </is>
      </c>
    </row>
    <row r="24">
      <c r="A24" s="5" t="inlineStr">
        <is>
          <t>2. ④ をコピーして貼り、送信する</t>
        </is>
      </c>
    </row>
    <row r="25">
      <c r="A25" s="5" t="inlineStr">
        <is>
          <t>3. 文字（タイトル）はCanvaなどで左上の空きスペースに後から入れる</t>
        </is>
      </c>
    </row>
    <row r="26">
      <c r="A26" s="5" t="inlineStr"/>
    </row>
    <row r="27">
      <c r="A27" s="6" t="inlineStr">
        <is>
          <t>★ コピペのコツ（重要）</t>
        </is>
      </c>
    </row>
    <row r="28">
      <c r="A28" s="5" t="inlineStr">
        <is>
          <t>歌詞のように改行があるセルは、セルを選んでCtrl+Cすると前後に " が付くことがあります。</t>
        </is>
      </c>
    </row>
    <row r="29">
      <c r="A29" s="5" t="inlineStr">
        <is>
          <t>→ セルをダブルクリック（またはF2）→ Ctrl+A で中身を全選択 → Ctrl+C でコピーすると、" が付きません。</t>
        </is>
      </c>
    </row>
    <row r="30">
      <c r="A30" s="5" t="inlineStr">
        <is>
          <t>→ Googleスプレッドシートで見る場合は、このxlsxをGoogleドライブにアップして開くとシートの切り替えもそのまま使えます。</t>
        </is>
      </c>
    </row>
    <row r="31">
      <c r="A31" s="13" t="inlineStr"/>
    </row>
    <row r="32">
      <c r="A32" s="14" t="inlineStr">
        <is>
          <t>並び絵を踊らせる（ダンス差分）</t>
        </is>
      </c>
    </row>
    <row r="33">
      <c r="A33" s="13" t="inlineStr">
        <is>
          <t>「ダンス差分」シートのプロンプトで、同じ並び絵のポーズ違いを4枚作り、パラパラ切り替えて踊っているように見せます</t>
        </is>
      </c>
    </row>
    <row r="34">
      <c r="A34" s="13" t="inlineStr"/>
    </row>
    <row r="35">
      <c r="A35" s="14" t="inlineStr">
        <is>
          <t>忍者シリーズ（30分動画・8曲）</t>
        </is>
      </c>
    </row>
    <row r="36">
      <c r="A36" s="13" t="inlineStr">
        <is>
          <t>「忍者シリーズ」シートに8曲分のSuno用①〜④と、概要欄のタイムスタンプが自動で作れる欄があります</t>
        </is>
      </c>
    </row>
  </sheetData>
  <pageMargins left="0.75" right="0.75" top="1" bottom="1" header="0.5" footer="0.5"/>
</worksheet>
</file>

<file path=xl/worksheets/sheet2.xml><?xml version="1.0" encoding="utf-8"?>
<worksheet xmlns="http://schemas.openxmlformats.org/spreadsheetml/2006/main">
  <sheetPr>
    <tabColor rgb="00C55A11"/>
    <outlinePr summaryBelow="1" summaryRight="1"/>
    <pageSetUpPr/>
  </sheetPr>
  <dimension ref="A1:G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2" customWidth="1" min="2" max="2"/>
    <col width="22" customWidth="1" min="3" max="3"/>
    <col width="48" customWidth="1" min="4" max="4"/>
    <col width="40" customWidth="1" min="5" max="5"/>
    <col width="60" customWidth="1" min="6" max="6"/>
    <col width="40" customWidth="1" min="7" max="7"/>
  </cols>
  <sheetData>
    <row r="1" ht="30" customHeight="1">
      <c r="A1" s="1" t="inlineStr">
        <is>
          <t>企画No</t>
        </is>
      </c>
      <c r="B1" s="1" t="inlineStr">
        <is>
          <t>登場キャラ</t>
        </is>
      </c>
      <c r="C1" s="9" t="inlineStr">
        <is>
          <t>① 【Suno】Title欄</t>
        </is>
      </c>
      <c r="D1" s="9" t="inlineStr">
        <is>
          <t>② 【Suno】Style欄</t>
        </is>
      </c>
      <c r="E1" s="9" t="inlineStr">
        <is>
          <t>③ 【Suno】Lyrics欄</t>
        </is>
      </c>
      <c r="F1" s="10" t="inlineStr">
        <is>
          <t>④ 【ChatGPT】並び絵プロンプト（サムネ・アニメ共通）</t>
        </is>
      </c>
      <c r="G1" s="1" t="inlineStr">
        <is>
          <t>⑤ 【YouTube】動画タイトル</t>
        </is>
      </c>
    </row>
    <row r="2">
      <c r="A2" s="3" t="n">
        <v>1</v>
      </c>
      <c r="B2" s="3" t="inlineStr">
        <is>
          <t>屋根の上の忍者（ヘッドホン）、見習い忍者</t>
        </is>
      </c>
      <c r="C2" s="11" t="inlineStr">
        <is>
          <t>麻とびこえて、きょうもワンステップ</t>
        </is>
      </c>
      <c r="D2" s="11" t="inlineStr">
        <is>
          <t>Japanese jazzy hip hop, upbeat groove, 100 BPM, punchy boom bap drums, funky bassline, Japanese shakuhachi, Japanese shamisen, taiko drums, energetic male vocal, Japanese lyrics, energetic, bright, head nod</t>
        </is>
      </c>
      <c r="E2" s="11" t="inlineStr">
        <is>
          <t>[Verse]
やねのうえ　つきが　まるい
ヘッドホンから　かぜの　おと
ししょうは　だまって　ゆびさした
きょうも　あさを　とびこえろ
[Chorus]
とんで（はっ）　はねて（それ）　あさを　こえろ
きのうより　すこし　たかく　なれ
まわって　すべって　かわらの　うえ
しのびあしで　ビートに　のれ
[Verse]
たねを　まいた　あの　ひから
あさは　まいにち　のびていく
おいらの　あしも　まけないで
まいにち　ひとつ　ステップアップ
[Chorus]
とんで（はっ）　はねて（それ）　あさを　こえろ
きのうより　すこし　たかく　なれ
まわって　すべって　かわらの　うえ
しのびあしで　ビートに　のれ
[Outro]
しのぶれど（はっ）　でちゃうんだ（それ）</t>
        </is>
      </c>
      <c r="F2"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a ninja in a brown outfit holding a shakuhachi, the small apprentice ninja in matcha green holding a scroll, the rooftop ninja in indigo with a vermilion scarf wearing big headphones, a ninja in vermilion holding a small taiko drum, a ninja in purple holding a vinyl record, a ninja in charcoal gray holding a folding fan. Plain solid mustard yellow background, no scenery, no floor, no cast shadows. Characters in the lower two-thirds of the image, leave the top third empty for title text. 16:9. Cheerful and playful. No text, no letters, no logos, no watermark.</t>
        </is>
      </c>
      <c r="G2" s="3" t="inlineStr">
        <is>
          <t>忍ぶれど、ビートに出にけり屋根の上｜和風 Jazzy HipHop｜作業・通勤・ドライブBGM</t>
        </is>
      </c>
    </row>
    <row r="3">
      <c r="A3" s="3" t="n">
        <v>2</v>
      </c>
      <c r="B3" s="3" t="inlineStr">
        <is>
          <t>侍集団の隊長、若侍（レコードを抱える）</t>
        </is>
      </c>
      <c r="C3" s="11" t="inlineStr">
        <is>
          <t>腹が減っては、ビートはできぬ</t>
        </is>
      </c>
      <c r="D3" s="11" t="inlineStr">
        <is>
          <t>Japanese jazzy hip hop, upbeat groove, 96 BPM, punchy boom bap drums, funky bassline, Japanese shamisen, Japanese shakuhachi, taiko drums, energetic male vocal, Japanese lyrics, energetic, bright, head nod</t>
        </is>
      </c>
      <c r="E3" s="11" t="inlineStr">
        <is>
          <t>[Verse]
いしだんに　ならんで　すわる
ゆうやけ　しろの　かげが　のびる
たいちょうが　つつみを　ひらいたら
おおきな　おむすび　ふたつ
[Chorus]
ほおばれ（よいしょ）　たちあがれ（それ）
はらが　へっては　ビートは　できぬ
ふんで　ならして　いしだんを
いっぽ　いっぽ　かけあがれ
[Verse]
わかざむらいは　レコードを
かたなの　かわりに　だいじに　かかえ
はりを　おとせば　まちが　おどる
たいちょうの　くびも　ゆれだした
[Chorus]
ほおばれ（よいしょ）　たちあがれ（それ）
はらが　へっては　ビートは　できぬ
ふんで　ならして　いしだんを
いっぽ　いっぽ　かけあがれ</t>
        </is>
      </c>
      <c r="F3"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samurai captain in an indigo haori with arms crossed and headphones around his neck, the young samurai hugging a vinyl record, a samurai holding a big rice ball, a samurai holding a small taiko drum, a samurai holding a shakuhachi, a samurai holding a folding fan. Plain solid matcha green background, no scenery, no floor, no cast shadows. Characters in the lower two-thirds of the image, leave the top third empty for title text. 16:9. Cheerful and playful. No text, no letters, no logos, no watermark.</t>
        </is>
      </c>
      <c r="G3" s="3" t="inlineStr">
        <is>
          <t>武士は食わねど、高ビート｜和風 Jazzy HipHop｜作業・通勤・ドライブBGM</t>
        </is>
      </c>
    </row>
    <row r="4">
      <c r="A4" s="3" t="n">
        <v>3</v>
      </c>
      <c r="B4" s="3" t="inlineStr">
        <is>
          <t>侍の休日（浴衣で縁側）、河童（追加）</t>
        </is>
      </c>
      <c r="C4" s="11" t="inlineStr">
        <is>
          <t>鬼に金棒、河童にベース</t>
        </is>
      </c>
      <c r="D4" s="11" t="inlineStr">
        <is>
          <t>Japanese jazzy hip hop, upbeat groove, 98 BPM, punchy boom bap drums, funky bassline, Japanese koto, Japanese shamisen, bright female vocal, Japanese lyrics, energetic, bright, head nod</t>
        </is>
      </c>
      <c r="E4" s="11" t="inlineStr">
        <is>
          <t>[Verse]
えんがわで　うちわを　ぱたぱた
すいかの　たねを　とばしたら
かわの　ほうから　ぼん　ぼん　ぼん
かっぱが　ベースを　はじいてる
[Chorus]
はじけ（はっ）　はねろ（それ）　みずしぶき
おにに　かなぼう　かっぱに　ベース
まわれ　まわれ　かざぐるま
なつやすみは　まだ　おわらない
[Verse]
おさらの　みずが　ひからぬように
ときどき　かわへ　とびこんで
きゅうりを　かじって　ひとやすみ
さむらいも　はだしで　かけだした
[Chorus]
はじけ（はっ）　はねろ（それ）　みずしぶき
おにに　かなぼう　かっぱに　ベース
まわれ　まわれ　かざぐるま
なつやすみは　まだ　おわらない</t>
        </is>
      </c>
      <c r="F4"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off-duty samurai in a white yukata holding an uchiwa fan, the kappa holding an upright bass, a child holding a slice of watermelon, a girl in a yukata holding a wind chime, a samurai holding a cucumber, a friend wearing big headphones holding a pinwheel. Plain solid soft indigo blue background, no scenery, no floor, no cast shadows. Characters in the lower two-thirds of the image, leave the top third empty for title text. 16:9. Cheerful and playful. No text, no letters, no logos, no watermark.</t>
        </is>
      </c>
      <c r="G4" s="3" t="inlineStr">
        <is>
          <t>河童の川流れ、本日は侍も流されて｜和風 Jazzy HipHop｜作業・通勤・ドライブBGM</t>
        </is>
      </c>
    </row>
    <row r="5">
      <c r="A5" s="3" t="n">
        <v>4</v>
      </c>
      <c r="B5" s="3" t="inlineStr">
        <is>
          <t>屋台の大将、浪人DJ</t>
        </is>
      </c>
      <c r="C5" s="11" t="inlineStr">
        <is>
          <t>二八そばより、十六ビート</t>
        </is>
      </c>
      <c r="D5" s="11" t="inlineStr">
        <is>
          <t>Japanese jazzy hip hop, upbeat groove, 100 BPM, punchy boom bap drums, funky bassline, Japanese shamisen, Japanese shakuhachi, energetic male vocal, Japanese lyrics, energetic, bright, head nod</t>
        </is>
      </c>
      <c r="E5" s="11" t="inlineStr">
        <is>
          <t>[Verse]
あめあがり　あかちょうちん
ゆげの　むこうに　あみがさ　ひとつ
たいしょうが　めんを　ちゃっ　ちゃっ　ちゃっ
ろうにんは　さらを　くる　くる　くる
[Chorus]
きざめ（はっ）　ゆらせ（それ）　よるの　まち
にはちそばより　じゅうろくビート
まわせ　まわせ　にまいの　さら
どんぶりも　レコードも　あつあつだ
[Verse]
にはちで　じゅうろく　かけざんで
えどの　よなきそば　うたいだす
みずたまり　はねて　げたが　なる
あさまで　のれんは　おろさない
[Chorus]
きざめ（はっ）　ゆらせ（それ）　よるの　まち
にはちそばより　じゅうろくビート
まわせ　まわせ　にまいの　さら
どんぶりも　レコードも　あつあつだ</t>
        </is>
      </c>
      <c r="F5"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ramen stall master in a white samue holding a noodle strainer, the ronin in a woven straw hat holding a vinyl record, a customer holding a ramen bowl, a musician holding a shamisen, a girl holding a paper umbrella, a boy holding a red paper lantern. Plain solid deep indigo background, no scenery, no floor, no cast shadows. Characters in the lower two-thirds of the image, leave the top third empty for title text. 16:9. Cheerful and playful. No text, no letters, no logos, no watermark.</t>
        </is>
      </c>
      <c r="G5" s="3" t="inlineStr">
        <is>
          <t>雨降って、ビート固まる深夜屋台｜和風 Jazzy HipHop｜作業・通勤・ドライブBGM</t>
        </is>
      </c>
    </row>
    <row r="6">
      <c r="A6" s="3" t="n">
        <v>5</v>
      </c>
      <c r="B6" s="3" t="inlineStr">
        <is>
          <t>木魚ビート僧、昼寝する小僧さん</t>
        </is>
      </c>
      <c r="C6" s="11" t="inlineStr">
        <is>
          <t>魚は眠らず、小僧は眠る</t>
        </is>
      </c>
      <c r="D6" s="11" t="inlineStr">
        <is>
          <t>Japanese jazzy hip hop, upbeat groove, 96 BPM, punchy boom bap drums, funky bassline, Japanese shakuhachi, Japanese koto, energetic male vocal, Japanese lyrics, energetic, bright, head nod</t>
        </is>
      </c>
      <c r="E6" s="11" t="inlineStr">
        <is>
          <t>[Verse]
ぽく　ぽく　ぽく　と　ほんどうに
もくぎょの　ビートが　ひびいてる
さかなは　ねむらず　めを　あけて
なまけちゃ　だめだと　いうけれど
[Chorus]
たたけ（はっ）　うなずけ（それ）　ぽく　ぽく　ぽん
さかなは　ねむらず　こぞうは　ねむる
さくら　ひらひら　まいおりて
ゆめの　なかでも　ステップ　ふむ
[Verse]
えんがわで　ねこと　まるくなり
ほうきを　まくらに　すう　すう　すう
もんぜんの　こぞうは　ならわずに
ねごとで　ビートを　きざんでる
[Chorus]
たたけ（はっ）　うなずけ（それ）　ぽく　ぽく　ぽん
さかなは　ねむらず　こぞうは　ねむる
さくら　ひらひら　まいおりて
ゆめの　なかでも　ステップ　ふむ</t>
        </is>
      </c>
      <c r="F6"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cheerful monk holding a mokugyo, the novice monk boy holding a broom, a small cat sitting upright, a monk holding a small bell, a novice holding a teacup, a monk wearing big headphones. Plain solid pale cherry blossom pink background, no scenery, no floor, no cast shadows. Characters in the lower two-thirds of the image, leave the top third empty for title text. 16:9. Cheerful and playful. No text, no letters, no logos, no watermark.</t>
        </is>
      </c>
      <c r="G6" s="3" t="inlineStr">
        <is>
          <t>門前の小僧、習わぬビートを刻む｜和風 Jazzy HipHop｜作業・通勤・ドライブBGM</t>
        </is>
      </c>
    </row>
    <row r="7">
      <c r="A7" s="3" t="n">
        <v>6</v>
      </c>
      <c r="B7" s="3" t="inlineStr">
        <is>
          <t>阿波踊り連、太鼓の鬼</t>
        </is>
      </c>
      <c r="C7" s="11" t="inlineStr">
        <is>
          <t>踊る阿呆に、太鼓たたく鬼</t>
        </is>
      </c>
      <c r="D7" s="11" t="inlineStr">
        <is>
          <t>Japanese jazzy hip hop, upbeat groove, 104 BPM, punchy boom bap drums, funky bassline, Japanese shinobue, Japanese shamisen, taiko drums, energetic male vocal, Japanese lyrics, energetic, bright, head nod</t>
        </is>
      </c>
      <c r="E7" s="11" t="inlineStr">
        <is>
          <t>[Verse]
ちょうちんの　あかりが　つづく　みち
てを　あげて　あしを　ふみだせば
やまの　やぐらで　どーん　どーん
おにが　たいこを　たたいてる
[Chorus]
えらいやっちゃ（はっ）　よいよいよい（それ）
おどる　あほうに　たいこ　たたく　おに
まわれ　はねろ　てを　ふれ
おなじ　あほなら　おどらにゃ　そんそん
[Verse]
こわい　かおして　めは　にこにこ
つのも　ゆれてる　リズムに　のって
こどもも　ねこも　おばあちゃんも
ひとつの　わに　なって　まわる
[Chorus]
えらいやっちゃ（はっ）　よいよいよい（それ）
おどる　あほうに　たいこ　たたく　おに
まわれ　はねろ　てを　ふれ
おなじ　あほなら　おどらにゃ　そんそん</t>
        </is>
      </c>
      <c r="F7"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friendly oni with vermilion skin holding a taiko drum, an Awa-odori dancer in an indigo happi coat holding an uchiwa fan, a dancer holding a kane bell, a dancer playing a shinobue flute, a female dancer in a straw hat with raised hands, a dancer holding a paper lantern. Plain solid mustard yellow background, no scenery, no floor, no cast shadows. Characters in the lower two-thirds of the image, leave the top third empty for title text. 16:9. Cheerful and playful. No text, no letters, no logos, no watermark.</t>
        </is>
      </c>
      <c r="G7" s="3" t="inlineStr">
        <is>
          <t>来年の話をしたら、鬼が踊りだした｜和風 Jazzy HipHop｜作業・通勤・ドライブBGM</t>
        </is>
      </c>
    </row>
    <row r="8">
      <c r="A8" s="3" t="n">
        <v>7</v>
      </c>
      <c r="B8" s="3" t="inlineStr">
        <is>
          <t>巫女、狐の嫁入り</t>
        </is>
      </c>
      <c r="C8" s="11" t="inlineStr">
        <is>
          <t>お天気雨は、狐の招待状</t>
        </is>
      </c>
      <c r="D8" s="11" t="inlineStr">
        <is>
          <t>Japanese jazzy hip hop, upbeat groove, 96 BPM, punchy boom bap drums, funky bassline, Japanese koto, Japanese shinobue, bright female vocal, Japanese lyrics, energetic, bright, head nod</t>
        </is>
      </c>
      <c r="E8" s="11" t="inlineStr">
        <is>
          <t>[Verse]
はれているのに　ぽつ　ぽつ　ぽつ
とりいの　むこうが　きらきら　ひかる
みこさん　ほうきを　とめて　みた
ちょうちん　ゆらゆら　ぎょうれつだ
[Chorus]
しゃらん（はっ）　しゃらん（それ）　すずが　なる
おてんきあめは　きつねの　しょうたいじょう
くるり　まわして　あかい　かさ
はねて　わらって　はれのち　あめ
[Verse]
しろい　きものの　はなよめさん
しっぽを　そっと　かくしてる
みつけても　ないしょに　しておこう
にじが　かかれば　おひらきだ
[Chorus]
しゃらん（はっ）　しゃらん（それ）　すずが　なる
おてんきあめは　きつねの　しょうたいじょう
くるり　まわして　あかい　かさ
はねて　わらって　はれのち　あめ</t>
        </is>
      </c>
      <c r="F8"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shrine maiden in vermilion hakama holding kagura bells, a fox bride in white holding a vermilion umbrella, a fox holding a paper lantern, a fox holding a shinobue flute, a fox holding a small umbrella, a fox wearing big headphones. Plain solid matcha green background, no scenery, no floor, no cast shadows. Characters in the lower two-thirds of the image, leave the top third empty for title text. 16:9. Cheerful and playful. No text, no letters, no logos, no watermark.</t>
        </is>
      </c>
      <c r="G8" s="3" t="inlineStr">
        <is>
          <t>狐の嫁入り、晴れときどき参列｜和風 Jazzy HipHop｜作業・通勤・ドライブBGM</t>
        </is>
      </c>
    </row>
    <row r="9">
      <c r="A9" s="3" t="n">
        <v>8</v>
      </c>
      <c r="B9" s="3" t="inlineStr">
        <is>
          <t>平安貴族（蹴鞠）、陰陽師、稚児</t>
        </is>
      </c>
      <c r="C9" s="11" t="inlineStr">
        <is>
          <t>いとをかし、いとグルーヴィ</t>
        </is>
      </c>
      <c r="D9" s="11" t="inlineStr">
        <is>
          <t>Japanese jazzy hip hop, upbeat groove, 98 BPM, punchy boom bap drums, funky bassline, Japanese koto, Japanese ryuteki flute, bright female vocal, Japanese lyrics, energetic, bright, head nod</t>
        </is>
      </c>
      <c r="E9" s="11" t="inlineStr">
        <is>
          <t>[Verse]
ふじの　はなが　ゆれる　にわ
きぬの　そでを　ひるがえし
まりを　ぽーんと　けりあげて
おちないように　そらへ　かえす
[Chorus]
ありー（はっ）　やあ（それ）　おう（よいしょ）
いとをかし　いとグルーヴィ
けって　はねて　くるりと　まわれ
まりは　ひるまの　おつきさま
[Verse]
よるが　くれば　おんみょうじ
ほしを　かぞえて　うらなえば
あしたも　はれて　まりびより
ちごも　すずを　しゃんと　ふる
[Chorus]
ありー（はっ）　やあ（それ）　おう（よいしょ）
いとをかし　いとグルーヴィ
けって　はねて　くるりと　まわれ
まりは　ひるまの　おつきさま</t>
        </is>
      </c>
      <c r="F9"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a Heian noble in an indigo robe holding a kemari ball, the onmyoji in white with a small floating light above his hand, the festival child holding a bell, a court lady holding a folding fan, a musician holding a ryuteki flute, a noble holding a tsuzumi hand drum. Plain solid soft indigo blue background, no scenery, no floor, no cast shadows. Characters in the lower two-thirds of the image, leave the top third empty for title text. 16:9. Cheerful and playful. No text, no letters, no logos, no watermark.</t>
        </is>
      </c>
      <c r="G9" s="3" t="inlineStr">
        <is>
          <t>春はあけぼの、夜は陰陽師｜和風 Jazzy HipHop｜作業・通勤・ドライブBGM</t>
        </is>
      </c>
    </row>
    <row r="10">
      <c r="A10" s="3" t="n">
        <v>9</v>
      </c>
      <c r="B10" s="3" t="inlineStr">
        <is>
          <t>獅子舞、若殿と家臣団、招き猫（追加）</t>
        </is>
      </c>
      <c r="C10" s="11" t="inlineStr">
        <is>
          <t>猫の手も、招きたいお正月</t>
        </is>
      </c>
      <c r="D10" s="11" t="inlineStr">
        <is>
          <t>Japanese jazzy hip hop, upbeat groove, 102 BPM, punchy boom bap drums, funky bassline, Japanese shinobue, Japanese shamisen, taiko drums, energetic male vocal, Japanese lyrics, energetic, bright, head nod</t>
        </is>
      </c>
      <c r="E10" s="11" t="inlineStr">
        <is>
          <t>[Verse]
おしょうがつ　まつかざりの　もん
わかとの　ねぼうで　おおさわぎ
かしんが　ばたばた　はしる　なか
ししまいが　ぱくぱく　やってきた
[Chorus]
かぷっと（はっ）　かまれて（それ）　ふくが　くる
ねこの　ても　まねきたい　いそがしさ
まわれ　おどれ　ししがしら
ことしも　げんきに　いきましょう
[Verse]
しょうてんがいの　まねきねこ
みぎてで　おかね　ひだりで　ひと
わかとのも　まねして　てを　ふれば
えがおが　ぞろぞろ　あつまった
[Chorus]
かぷっと（はっ）　かまれて（それ）　ふくが　くる
ねこの　ても　まねきたい　いそがしさ
まわれ　おどれ　ししがしら
ことしも　げんきに　いきましょう</t>
        </is>
      </c>
      <c r="F10"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shishimai lion dancer with a red lion head, the young lord in a gold kamishimo, the maneki-neko cat beckoning with one paw, a retainer in indigo holding a small taiko drum, a retainer holding a shinobue flute, a retainer holding a New Year kite. Plain solid vermilion red background, no scenery, no floor, no cast shadows. Characters in the lower two-thirds of the image, leave the top third empty for title text. 16:9. Cheerful and playful. No text, no letters, no logos, no watermark.</t>
        </is>
      </c>
      <c r="G10" s="3" t="inlineStr">
        <is>
          <t>笑う門には、獅子きたる｜和風 Jazzy HipHop｜作業・通勤・ドライブBGM</t>
        </is>
      </c>
    </row>
    <row r="11">
      <c r="A11" s="3" t="n">
        <v>10</v>
      </c>
      <c r="B11" s="3" t="inlineStr">
        <is>
          <t>花魁（三味線持ち）、歌舞伎役者、琵琶法師（追加）</t>
        </is>
      </c>
      <c r="C11" s="11" t="inlineStr">
        <is>
          <t>待ってました、と言わせたい</t>
        </is>
      </c>
      <c r="D11" s="11" t="inlineStr">
        <is>
          <t>Japanese jazzy hip hop, upbeat groove, 98 BPM, punchy boom bap drums, funky bassline, Japanese shamisen, Japanese biwa, taiko drums, energetic male vocal, Japanese lyrics, energetic, bright, head nod</t>
        </is>
      </c>
      <c r="E11" s="11" t="inlineStr">
        <is>
          <t>[Verse]
ひょうしぎ　かん　かん　まくが　あく
ちょうちん　ならぶ　しばいごや
しゃみせん　べんべん　たかなれば
びわの　ねいろが　ものがたる
[Chorus]
よっ（はっ）　まってました（それ）
みえを　きるまで　あと　すこし
まわって　ふんで　とん　とん　とん
まってましたと　いわせたい
[Verse]
ぎおんしょうじゃの　かねの　こえ
むかしの　はなしを　いまふうに
ちょんまげ　ゆらして　くびを　ふり
おおむこう　こえが　かかったら
[Chorus]
よっ（はっ）　まってました（それ）
みえを　きるまで　あと　すこし
まわって　ふんで　とん　とん　とん
まってましたと　いわせたい</t>
        </is>
      </c>
      <c r="F11"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kabuki actor with kumadori makeup holding a folding fan, an elegant musician lady in a modest fully covered kimono holding a shamisen, the biwa player holding a biwa, a stagehand holding hyoshigi wooden clappers, a drummer holding a small taiko drum, a fan waving a paper lantern. Plain solid deep indigo background, no scenery, no floor, no cast shadows. Characters in the lower two-thirds of the image, leave the top third empty for title text. 16:9. Cheerful and playful. No text, no letters, no logos, no watermark.</t>
        </is>
      </c>
      <c r="G11" s="3" t="inlineStr">
        <is>
          <t>祇園精舎の鐘の声、本日はビートの声｜和風 Jazzy HipHop｜作業・通勤・ドライブBGM</t>
        </is>
      </c>
    </row>
  </sheetData>
  <pageMargins left="0.75" right="0.75" top="1" bottom="1" header="0.5" footer="0.5"/>
</worksheet>
</file>

<file path=xl/worksheets/sheet3.xml><?xml version="1.0" encoding="utf-8"?>
<worksheet xmlns="http://schemas.openxmlformats.org/spreadsheetml/2006/main">
  <sheetPr>
    <tabColor rgb="00C55A11"/>
    <outlinePr summaryBelow="1" summaryRight="1"/>
    <pageSetUpPr/>
  </sheetPr>
  <dimension ref="A1:M1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9" customWidth="1" min="3" max="3"/>
    <col width="6" customWidth="1" min="4" max="4"/>
    <col width="28" customWidth="1" min="5" max="5"/>
    <col width="32" customWidth="1" min="6" max="6"/>
    <col width="56" customWidth="1" min="7" max="7"/>
    <col width="42" customWidth="1" min="8" max="8"/>
    <col width="30" customWidth="1" min="9" max="9"/>
    <col width="9" customWidth="1" min="10" max="10"/>
    <col width="9" customWidth="1" min="11" max="11"/>
    <col width="11" customWidth="1" min="12" max="12"/>
    <col width="40" customWidth="1" min="13" max="13"/>
  </cols>
  <sheetData>
    <row r="1">
      <c r="A1" s="1" t="inlineStr">
        <is>
          <t>曲順</t>
        </is>
      </c>
      <c r="B1" s="1" t="inlineStr">
        <is>
          <t>場面</t>
        </is>
      </c>
      <c r="C1" s="1" t="inlineStr">
        <is>
          <t>歌／インスト</t>
        </is>
      </c>
      <c r="D1" s="1" t="inlineStr">
        <is>
          <t>BPM</t>
        </is>
      </c>
      <c r="E1" s="9" t="inlineStr">
        <is>
          <t>① 【Suno】Title欄</t>
        </is>
      </c>
      <c r="F1" s="1" t="inlineStr">
        <is>
          <t>元ネタ・洒落のポイント</t>
        </is>
      </c>
      <c r="G1" s="9" t="inlineStr">
        <is>
          <t>② 【Suno】Style欄</t>
        </is>
      </c>
      <c r="H1" s="9" t="inlineStr">
        <is>
          <t>③ 【Suno】Lyrics欄</t>
        </is>
      </c>
      <c r="I1" s="9" t="inlineStr">
        <is>
          <t>④ 【Suno】Exclude Styles欄</t>
        </is>
      </c>
      <c r="J1" s="1" t="inlineStr">
        <is>
          <t>できた長さ（分）</t>
        </is>
      </c>
      <c r="K1" s="1" t="inlineStr">
        <is>
          <t>できた長さ（秒）</t>
        </is>
      </c>
      <c r="L1" s="1" t="inlineStr">
        <is>
          <t>タイムスタンプ</t>
        </is>
      </c>
      <c r="M1" s="1" t="inlineStr">
        <is>
          <t>⑤ 【YouTube】概要欄トラックリスト</t>
        </is>
      </c>
    </row>
    <row r="2">
      <c r="A2" s="3" t="n">
        <v>1</v>
      </c>
      <c r="B2" s="3" t="inlineStr">
        <is>
          <t>朝｜夜明けの屋根から修行に出発</t>
        </is>
      </c>
      <c r="C2" s="3" t="inlineStr">
        <is>
          <t>歌</t>
        </is>
      </c>
      <c r="D2" s="3" t="n">
        <v>100</v>
      </c>
      <c r="E2" s="11" t="inlineStr">
        <is>
          <t>早起きは三文の徳、屋根の上なら五文の徳</t>
        </is>
      </c>
      <c r="F2" s="3" t="inlineStr">
        <is>
          <t>ことわざ「早起きは三文の徳」。屋根の上ならもっと得、という洒落</t>
        </is>
      </c>
      <c r="G2" s="11" t="inlineStr">
        <is>
          <t>Japanese groove pop, upbeat, bright and refreshing, 100 BPM, punchy drums, funky bassline, Japanese shakuhachi, Japanese shamisen, light taiko drums, sunrise feeling, energetic male vocal, Japanese lyrics, Japanese call-and-response chants, male group chorus, head nod</t>
        </is>
      </c>
      <c r="H2" s="11" t="inlineStr">
        <is>
          <t>[Intro]
（そーれ）
[Verse]
あさひが　かわらを　そめていく
とりより　はやく　めを　さませ
ずきんを　きゅっと　むすんだら
きょうの　しゅぎょうの　はじまりだ
[Pre-Chorus]
まちは　まだ　ねむってる
いまのうちに　かけだそう
[Chorus]
はやおき（はっ）　さんもん（それ）　とくを　する
やねの　うえなら　ごもんの　とく
とんで　はねて　あさひへ　とどけ
きょうも　いちばん　のりで　いこう
[Instrumental Break]
[Verse]
みそしる　におう　まちかどを
かぜより　はやく　すりぬける
さかなやさんが　てを　ふって
いってらっしゃいと　わらってる
[Pre-Chorus]
まちが　すこし　めを　さます
いまのうちに　かけだそう
[Chorus]
はやおき（はっ）　さんもん（それ）　とくを　する
やねの　うえなら　ごもんの　とく
とんで　はねて　あさひへ　とどけ
きょうも　いちばん　のりで　いこう
[Bridge]
いよっ（いよっ）　そーれ（そーれ）
こえを　あわせて　もういっかい
[Chorus]
はやおき（はっ）　さんもん（それ）　とくを　する
やねの　うえなら　ごもんの　とく
とんで　はねて　あさひへ　とどけ
きょうも　いちばん　のりで　いこう
[Outro]
（そーれ）</t>
        </is>
      </c>
      <c r="I2" s="11" t="inlineStr">
        <is>
          <t>dark, horror, scary, English lyrics, rap, epic, cinematic</t>
        </is>
      </c>
      <c r="J2" s="15" t="n"/>
      <c r="K2" s="15" t="n"/>
      <c r="L2" s="3" t="inlineStr">
        <is>
          <t>0:00</t>
        </is>
      </c>
      <c r="M2" s="3">
        <f>L2&amp;" "&amp;E2</f>
        <v/>
      </c>
    </row>
    <row r="3">
      <c r="A3" s="3" t="n">
        <v>2</v>
      </c>
      <c r="B3" s="3" t="inlineStr">
        <is>
          <t>昼前｜手裏剣の稽古（木の的）</t>
        </is>
      </c>
      <c r="C3" s="3" t="inlineStr">
        <is>
          <t>歌</t>
        </is>
      </c>
      <c r="D3" s="3" t="n">
        <v>102</v>
      </c>
      <c r="E3" s="11" t="inlineStr">
        <is>
          <t>当たるも八卦、投げるも手裏剣</t>
        </is>
      </c>
      <c r="F3" s="3" t="inlineStr">
        <is>
          <t>ことわざ「当たるも八卦当たらぬも八卦」のもじり</t>
        </is>
      </c>
      <c r="G3" s="11" t="inlineStr">
        <is>
          <t>Japanese groove pop, upbeat, bright and refreshing, 102 BPM, punchy drums, funky bassline, Japanese shakuhachi, Japanese shamisen riffs, crisp percussion, energetic male vocal, Japanese lyrics, Japanese call-and-response chants, male group chorus, head nod</t>
        </is>
      </c>
      <c r="H3" s="11" t="inlineStr">
        <is>
          <t>[Intro]
（えいさ）
[Verse]
きの　まとを　ずらりと　ならべ
ひとつ　ふたつと　かぞえたら
てくびを　かえして　しゅっと　なげ
かぜを　きる　おと　ここちいい
[Pre-Chorus]
あたるも　はっけ　あたらぬも
わらって　もう　ひとつ
[Chorus]
しゅっ　しゅっ（はっ）　まわれ（それ）　ほしの　かたち
くるくる　ひかって　まとの　まんなか
はずれても（よいしょ）　めげないで（それ）
つぎの　いちまい　いきを　すって
[Instrumental Break]
[Verse]
ししょうの　てほんは　みえないほど
はやくて　しずかで　うつくしい
おいらは　まだまだ　みならいだけど
きのうより　ひとつ　うまくなる
[Pre-Chorus]
あたるも　はっけ　あたらぬも
わらって　もう　ひとつ
[Chorus]
しゅっ　しゅっ（はっ）　まわれ（それ）　ほしの　かたち
くるくる　ひかって　まとの　まんなか
はずれても（よいしょ）　めげないで（それ）
つぎの　いちまい　いきを　すって
[Bridge]
ひとつ（えいさ）　ふたつ（えいさ）
みっつ　よっつで　どまんなか
[Chorus]
しゅっ　しゅっ（はっ）　まわれ（それ）　ほしの　かたち
くるくる　ひかって　まとの　まんなか
はずれても（よいしょ）　めげないで（それ）
つぎの　いちまい　いきを　すって
[Outro]
（えいさ）</t>
        </is>
      </c>
      <c r="I3" s="11" t="inlineStr">
        <is>
          <t>dark, horror, scary, English lyrics, rap, epic, cinematic</t>
        </is>
      </c>
      <c r="J3" s="15" t="n"/>
      <c r="K3" s="15" t="n"/>
      <c r="L3" s="3">
        <f>TEXT(INT((SUM($J$2:J2)*60+SUM($K$2:K2))/60),"0")&amp;":"&amp;TEXT(MOD((SUM($J$2:J2)*60+SUM($K$2:K2)),60),"00")</f>
        <v/>
      </c>
      <c r="M3" s="3">
        <f>L3&amp;" "&amp;E3</f>
        <v/>
      </c>
    </row>
    <row r="4">
      <c r="A4" s="3" t="n">
        <v>3</v>
      </c>
      <c r="B4" s="3" t="inlineStr">
        <is>
          <t>昼｜森の中を疾走</t>
        </is>
      </c>
      <c r="C4" s="3" t="inlineStr">
        <is>
          <t>歌</t>
        </is>
      </c>
      <c r="D4" s="3" t="n">
        <v>105</v>
      </c>
      <c r="E4" s="11" t="inlineStr">
        <is>
          <t>急がば回れ、忍者は回って急ぐ</t>
        </is>
      </c>
      <c r="F4" s="3" t="inlineStr">
        <is>
          <t>ことわざ「急がば回れ」を逆手にとった洒落</t>
        </is>
      </c>
      <c r="G4" s="11" t="inlineStr">
        <is>
          <t>Japanese groove pop, upbeat, bright and refreshing, 105 BPM, punchy drums, funky bassline, Japanese shakuhachi, Japanese shinobue flute, driving rhythm, rushing forest wind, energetic male vocal, Japanese lyrics, Japanese call-and-response chants, male group chorus, head nod</t>
        </is>
      </c>
      <c r="H4" s="11" t="inlineStr">
        <is>
          <t>[Intro]
（そーれ　そーれ）
[Verse]
すぎの　もりを　かけぬけて
こけの　いわを　ぽんと　こえ
えだから　えだへ　とびうつり
こもれびの　なかを　はしってく
[Pre-Chorus]
いそがば　まわれと　いうけれど
まわって　いそげば　まにあうさ
[Chorus]
はしれ（はっ）　はしれ（それ）　もりの　なか
くるり　まわって　いそいで　いこう
かぜに　なって（よいしょ）　とりと　ならんで（それ）
やまの　むこうへ　ひとっとび
[Instrumental Break]
[Verse]
たきの　しぶきを　くぐりぬけ
しかの　おやこに　あいさつ
どんぐり　ひろって　ふところへ
ひるには　さとへ　つくだろう
[Pre-Chorus]
いそがば　まわれと　いうけれど
まわって　いそげば　まにあうさ
[Chorus]
はしれ（はっ）　はしれ（それ）　もりの　なか
くるり　まわって　いそいで　いこう
かぜに　なって（よいしょ）　とりと　ならんで（それ）
やまの　むこうへ　ひとっとび
[Bridge]
ざわ　ざわ　はっぱが　てを　たたく
（そーれ）　もっと　はやく
[Chorus]
はしれ（はっ）　はしれ（それ）　もりの　なか
くるり　まわって　いそいで　いこう
かぜに　なって（よいしょ）　とりと　ならんで（それ）
やまの　むこうへ　ひとっとび
[Outro]
（そーれ）</t>
        </is>
      </c>
      <c r="I4" s="11" t="inlineStr">
        <is>
          <t>dark, horror, scary, English lyrics, rap, epic, cinematic</t>
        </is>
      </c>
      <c r="J4" s="15" t="n"/>
      <c r="K4" s="15" t="n"/>
      <c r="L4" s="3">
        <f>TEXT(INT((SUM($J$2:J3)*60+SUM($K$2:K3))/60),"0")&amp;":"&amp;TEXT(MOD((SUM($J$2:J3)*60+SUM($K$2:K3)),60),"00")</f>
        <v/>
      </c>
      <c r="M4" s="3">
        <f>L4&amp;" "&amp;E4</f>
        <v/>
      </c>
    </row>
    <row r="5">
      <c r="A5" s="3" t="n">
        <v>4</v>
      </c>
      <c r="B5" s="3" t="inlineStr">
        <is>
          <t>ひと休み｜竹林で尺八の独奏</t>
        </is>
      </c>
      <c r="C5" s="3" t="inlineStr">
        <is>
          <t>インスト</t>
        </is>
      </c>
      <c r="D5" s="3" t="n">
        <v>96</v>
      </c>
      <c r="E5" s="11" t="inlineStr">
        <is>
          <t>竹を割ったような、まっすぐな尺八</t>
        </is>
      </c>
      <c r="F5" s="3" t="inlineStr">
        <is>
          <t>慣用句「竹を割ったような（さっぱりした）」×竹でできた尺八</t>
        </is>
      </c>
      <c r="G5" s="11" t="inlineStr">
        <is>
          <t>Japanese groove instrumental, upbeat, bright and refreshing, 96 BPM, punchy drums, funky bassline, long expressive Japanese shakuhachi solo as the lead melody, Japanese koto accompaniment, light Japanese shamisen, head nod, extended arrangement, no vocals, instrumental</t>
        </is>
      </c>
      <c r="H5" s="11" t="inlineStr">
        <is>
          <t>（Instrumental をオンにする。歌詞欄は使わない）</t>
        </is>
      </c>
      <c r="I5" s="11" t="inlineStr">
        <is>
          <t>vocals, singing, dark, horror, scary, epic, cinematic</t>
        </is>
      </c>
      <c r="J5" s="15" t="n"/>
      <c r="K5" s="15" t="n"/>
      <c r="L5" s="3">
        <f>TEXT(INT((SUM($J$2:J4)*60+SUM($K$2:K4))/60),"0")&amp;":"&amp;TEXT(MOD((SUM($J$2:J4)*60+SUM($K$2:K4)),60),"00")</f>
        <v/>
      </c>
      <c r="M5" s="3">
        <f>L5&amp;" "&amp;E5</f>
        <v/>
      </c>
    </row>
    <row r="6">
      <c r="A6" s="3" t="n">
        <v>5</v>
      </c>
      <c r="B6" s="3" t="inlineStr">
        <is>
          <t>夕方｜屋根の上で町を見下ろす</t>
        </is>
      </c>
      <c r="C6" s="3" t="inlineStr">
        <is>
          <t>歌</t>
        </is>
      </c>
      <c r="D6" s="3" t="n">
        <v>98</v>
      </c>
      <c r="E6" s="11" t="inlineStr">
        <is>
          <t>猫の額ほどの屋根で、天下をとる</t>
        </is>
      </c>
      <c r="F6" s="3" t="inlineStr">
        <is>
          <t>慣用句「猫の額（とても狭い）」×天下とり</t>
        </is>
      </c>
      <c r="G6" s="11" t="inlineStr">
        <is>
          <t>Japanese groove pop, upbeat, bright and refreshing, 98 BPM, punchy drums, funky bassline, Japanese shakuhachi, Japanese shamisen, warm sunset groove, energetic male vocal, Japanese lyrics, Japanese call-and-response chants, male group chorus, head nod</t>
        </is>
      </c>
      <c r="H6" s="11" t="inlineStr">
        <is>
          <t>[Intro]
（いよっ）
[Verse]
ゆうやけ　いろの　かわらやね
ねこと　ならんで　すわったら
とおくの　しろも　ちいさくて
てのひらに　のりそうだ
[Pre-Chorus]
ねこの　ひたいほどの　ばしょだけど
ここが　おいらの　とくとうせき
[Chorus]
いよっ（はっ）　てんか（それ）　とったぞ
やねの　うえから　まちを　みおろす
てを　ふって（よいしょ）　くびを　ふって（それ）
ゆうひと　いっしょに　おどろうよ
[Instrumental Break]
[Verse]
えんとつ　けむりが　ゆらゆらと
ごはんの　においが　のぼってくる
ちょうちん　ぽつぽつ　ともりだし
まちが　よるへと　きがえてく
[Pre-Chorus]
ねこの　ひたいほどの　ばしょだけど
ここが　おいらの　とくとうせき
[Chorus]
いよっ（はっ）　てんか（それ）　とったぞ
やねの　うえから　まちを　みおろす
てを　ふって（よいしょ）　くびを　ふって（それ）
ゆうひと　いっしょに　おどろうよ
[Bridge]
（にゃあ）と　ねこが　あいのて　いれて
ふたりで　そろって　もういっかい
[Chorus]
いよっ（はっ）　てんか（それ）　とったぞ
やねの　うえから　まちを　みおろす
てを　ふって（よいしょ）　くびを　ふって（それ）
ゆうひと　いっしょに　おどろうよ
[Outro]
（にゃあ）</t>
        </is>
      </c>
      <c r="I6" s="11" t="inlineStr">
        <is>
          <t>dark, horror, scary, English lyrics, rap, epic, cinematic</t>
        </is>
      </c>
      <c r="J6" s="15" t="n"/>
      <c r="K6" s="15" t="n"/>
      <c r="L6" s="3">
        <f>TEXT(INT((SUM($J$2:J5)*60+SUM($K$2:K5))/60),"0")&amp;":"&amp;TEXT(MOD((SUM($J$2:J5)*60+SUM($K$2:K5)),60),"00")</f>
        <v/>
      </c>
      <c r="M6" s="3">
        <f>L6&amp;" "&amp;E6</f>
        <v/>
      </c>
    </row>
    <row r="7">
      <c r="A7" s="3" t="n">
        <v>6</v>
      </c>
      <c r="B7" s="3" t="inlineStr">
        <is>
          <t>夜｜満月の屋根でお月見（少し落ち着く曲）</t>
        </is>
      </c>
      <c r="C7" s="3" t="inlineStr">
        <is>
          <t>歌</t>
        </is>
      </c>
      <c r="D7" s="3" t="n">
        <v>90</v>
      </c>
      <c r="E7" s="11" t="inlineStr">
        <is>
          <t>花より団子、満月より月見団子</t>
        </is>
      </c>
      <c r="F7" s="3" t="inlineStr">
        <is>
          <t>ことわざ「花より団子」×お月見の団子</t>
        </is>
      </c>
      <c r="G7" s="11" t="inlineStr">
        <is>
          <t>Japanese groove pop, upbeat, bright and refreshing, 90 BPM, punchy drums, funky bassline, Japanese shakuhachi, a little slower and relaxed, warm and cozy, Japanese koto, gentle shakuhachi, energetic male vocal, Japanese lyrics, Japanese call-and-response chants, male group chorus, head nod</t>
        </is>
      </c>
      <c r="H7" s="11" t="inlineStr">
        <is>
          <t>[Intro]
（よいしょ）
[Verse]
まんまるの　つきが　のぼったら
すすきが　さらさら　ゆれている
おだんご　みっつ　ならべたら
きょうは　しゅぎょうも　おやすみだ
[Pre-Chorus]
はなより　だんご　つきより　だんご
みんなで　わけて　ほおばろう
[Chorus]
ぽん　ぽん（はっ）　つきが（それ）　わらってる
やねの　うえで　ゆっくり　ゆれて
ひとつ　ふたつ（よいしょ）　おだんご　たべて（それ）
こよいは　ゆるりと　くびを　ふろう
[Instrumental Break]
[Verse]
むしの　こえが　りん　りん　と
よかぜに　のって　とどいたら
ししょうも　めを　ほそめて
むかしの　はなしを　はじめた
[Pre-Chorus]
はなより　だんご　つきより　だんご
みんなで　わけて　ほおばろう
[Chorus]
ぽん　ぽん（はっ）　つきが（それ）　わらってる
やねの　うえで　ゆっくり　ゆれて
ひとつ　ふたつ（よいしょ）　おだんご　たべて（それ）
こよいは　ゆるりと　くびを　ふろう
[Bridge]
つきの　うさぎも　もちを　つく
（ぺったん）（ぺったん）　ゆっくりと
[Chorus]
ぽん　ぽん（はっ）　つきが（それ）　わらってる
やねの　うえで　ゆっくり　ゆれて
ひとつ　ふたつ（よいしょ）　おだんご　たべて（それ）
こよいは　ゆるりと　くびを　ふろう
[Outro]
（よいしょ）</t>
        </is>
      </c>
      <c r="I7" s="11" t="inlineStr">
        <is>
          <t>dark, horror, scary, English lyrics, rap, epic, cinematic</t>
        </is>
      </c>
      <c r="J7" s="15" t="n"/>
      <c r="K7" s="15" t="n"/>
      <c r="L7" s="3">
        <f>TEXT(INT((SUM($J$2:J6)*60+SUM($K$2:K6))/60),"0")&amp;":"&amp;TEXT(MOD((SUM($J$2:J6)*60+SUM($K$2:K6)),60),"00")</f>
        <v/>
      </c>
      <c r="M7" s="3">
        <f>L7&amp;" "&amp;E7</f>
        <v/>
      </c>
    </row>
    <row r="8">
      <c r="A8" s="3" t="n">
        <v>7</v>
      </c>
      <c r="B8" s="3" t="inlineStr">
        <is>
          <t>夜明け前｜太鼓と三味線で盛り上げ直す</t>
        </is>
      </c>
      <c r="C8" s="3" t="inlineStr">
        <is>
          <t>インスト</t>
        </is>
      </c>
      <c r="D8" s="3" t="n">
        <v>100</v>
      </c>
      <c r="E8" s="11" t="inlineStr">
        <is>
          <t>善は急げ、太鼓はもっと急げ</t>
        </is>
      </c>
      <c r="F8" s="3" t="inlineStr">
        <is>
          <t>ことわざ「善は急げ」のもじり。フィナーレへ向けて加速</t>
        </is>
      </c>
      <c r="G8" s="11" t="inlineStr">
        <is>
          <t>Japanese groove instrumental, upbeat, bright and refreshing, 100 BPM, punchy drums, funky bassline, Japanese taiko drums ensemble breaks, fast Japanese shamisen solo, Japanese shinobue flute, building energy, head nod, extended arrangement, no vocals, instrumental</t>
        </is>
      </c>
      <c r="H8" s="11" t="inlineStr">
        <is>
          <t>（Instrumental をオンにする。歌詞欄は使わない）</t>
        </is>
      </c>
      <c r="I8" s="11" t="inlineStr">
        <is>
          <t>vocals, singing, dark, horror, scary, epic, cinematic</t>
        </is>
      </c>
      <c r="J8" s="15" t="n"/>
      <c r="K8" s="15" t="n"/>
      <c r="L8" s="3">
        <f>TEXT(INT((SUM($J$2:J7)*60+SUM($K$2:K7))/60),"0")&amp;":"&amp;TEXT(MOD((SUM($J$2:J7)*60+SUM($K$2:K7)),60),"00")</f>
        <v/>
      </c>
      <c r="M8" s="3">
        <f>L8&amp;" "&amp;E8</f>
        <v/>
      </c>
    </row>
    <row r="9">
      <c r="A9" s="3" t="n">
        <v>8</v>
      </c>
      <c r="B9" s="3" t="inlineStr">
        <is>
          <t>フィナーレ｜ふたたび朝の屋根へ</t>
        </is>
      </c>
      <c r="C9" s="3" t="inlineStr">
        <is>
          <t>歌</t>
        </is>
      </c>
      <c r="D9" s="3" t="n">
        <v>102</v>
      </c>
      <c r="E9" s="11" t="inlineStr">
        <is>
          <t>終わりよければ、夜明けもよし</t>
        </is>
      </c>
      <c r="F9" s="3" t="inlineStr">
        <is>
          <t>ことわざ「終わりよければ全てよし」。1曲目のサビが戻ってくる</t>
        </is>
      </c>
      <c r="G9" s="11" t="inlineStr">
        <is>
          <t>Japanese groove pop, upbeat, bright and refreshing, 102 BPM, punchy drums, funky bassline, Japanese shakuhachi, Japanese shamisen, taiko drums, big joyful finale feeling, sunrise, energetic male vocal, Japanese lyrics, Japanese call-and-response chants, male group chorus, head nod</t>
        </is>
      </c>
      <c r="H9" s="11" t="inlineStr">
        <is>
          <t>[Intro]
（そーれ）
[Verse]
よるの　とばりが　うすれていく
しゅりけん　もりみち　まんげつも
ぜんぶ　ふところに　しまいこみ
また　あの　やねへと　かえってきた
[Pre-Chorus]
おわり　よければ　すべて　よし
さあ　みんなで　うたおうよ
[Chorus]
はやおき（はっ）　さんもん（それ）　とくを　する
やねの　うえなら　ごもんの　とく
あさひに（よいしょ）　てを　のばせ（それ）
あしたも　ここで　あおうじゃないか
[Instrumental Break]
[Verse]
みならいも　ししょうも　ねこも
ならんで　あさひを　あびている
ほら　まちが　めを　さましたら
きょうも　いちにち　はじまるよ
[Pre-Chorus]
おわり　よければ　すべて　よし
さあ　みんなで　うたおうよ
[Chorus]
はやおき（はっ）　さんもん（それ）　とくを　する
やねの　うえなら　ごもんの　とく
あさひに（よいしょ）　てを　のばせ（それ）
あしたも　ここで　あおうじゃないか
[Bridge]
いよっ（いよっ）　そーれ（そーれ）
いよっ（いよっ）　そーれ（そーれ）
[Chorus]
はやおき（はっ）　さんもん（それ）　とくを　する
やねの　うえなら　ごもんの　とく
あさひに（よいしょ）　てを　のばせ（それ）
あしたも　ここで　あおうじゃないか
[Outro]
（そーれ）</t>
        </is>
      </c>
      <c r="I9" s="11" t="inlineStr">
        <is>
          <t>dark, horror, scary, English lyrics, rap, epic, cinematic</t>
        </is>
      </c>
      <c r="J9" s="15" t="n"/>
      <c r="K9" s="15" t="n"/>
      <c r="L9" s="3">
        <f>TEXT(INT((SUM($J$2:J8)*60+SUM($K$2:K8))/60),"0")&amp;":"&amp;TEXT(MOD((SUM($J$2:J8)*60+SUM($K$2:K8)),60),"00")</f>
        <v/>
      </c>
      <c r="M9" s="3">
        <f>L9&amp;" "&amp;E9</f>
        <v/>
      </c>
    </row>
    <row r="11">
      <c r="A11" s="16" t="inlineStr"/>
      <c r="B11" s="17" t="inlineStr">
        <is>
          <t>合計の長さ</t>
        </is>
      </c>
      <c r="J11" t="inlineStr"/>
      <c r="K11" t="inlineStr"/>
      <c r="L11">
        <f>TEXT(INT((SUM(J2:J9)*60+SUM(K2:K9))/60),"0")&amp;":"&amp;TEXT(MOD((SUM(J2:J9)*60+SUM(K2:K9)),60),"00")</f>
        <v/>
      </c>
      <c r="M11" t="inlineStr">
        <is>
          <t>（30分前後が目安）</t>
        </is>
      </c>
    </row>
    <row r="12">
      <c r="A12" s="16" t="n"/>
      <c r="B12" s="17" t="n"/>
    </row>
    <row r="13">
      <c r="A13" s="16" t="inlineStr">
        <is>
          <t>動画タイトル（コピペ）</t>
        </is>
      </c>
      <c r="B13" s="17" t="inlineStr">
        <is>
          <t>忍ぶれど、ビートに出にけり屋根の上｜和風 Jazzy HipHop｜作業・通勤・ドライブBGM</t>
        </is>
      </c>
    </row>
    <row r="14">
      <c r="A14" s="16" t="inlineStr">
        <is>
          <t>使い方</t>
        </is>
      </c>
      <c r="B14" s="17" t="inlineStr">
        <is>
          <t>1. 曲ごとに①②③④をSunoに貼って生成（インスト曲は Instrumental をオン）。3分未満なら Extend で伸ばす</t>
        </is>
      </c>
    </row>
    <row r="15">
      <c r="A15" s="16" t="inlineStr"/>
      <c r="B15" s="17" t="inlineStr">
        <is>
          <t>2. できた曲の長さを黄色のセル（分・秒）に入れると、タイムスタンプと⑤の概要欄リストが自動で出る</t>
        </is>
      </c>
    </row>
    <row r="16">
      <c r="A16" s="16" t="inlineStr"/>
      <c r="B16" s="17" t="inlineStr">
        <is>
          <t>3. ⑤の列を上から下までコピーして、YouTubeの概要欄に貼る（0:00から始まるので章分けもされる）</t>
        </is>
      </c>
    </row>
    <row r="17">
      <c r="A17" s="16" t="inlineStr">
        <is>
          <t>雰囲気をそろえるコツ</t>
        </is>
      </c>
      <c r="B17" s="17" t="inlineStr">
        <is>
          <t>Style欄の前半（Japanese groove pop〜shakuhachi）は全曲共通。曲ごとに変えているのは後半の楽器と場面だけ</t>
        </is>
      </c>
    </row>
    <row r="18">
      <c r="A18" s="16" t="inlineStr">
        <is>
          <t>リピートする場合</t>
        </is>
      </c>
      <c r="B18" s="17" t="inlineStr">
        <is>
          <t>2周目は曲順を少し入れ替えると安心（例：1→3→2→5→4→6→7→8）。そのときはタイムスタンプも周回分を足す</t>
        </is>
      </c>
    </row>
  </sheetData>
  <mergeCells count="7">
    <mergeCell ref="B18:I18"/>
    <mergeCell ref="B13:I13"/>
    <mergeCell ref="B15:I15"/>
    <mergeCell ref="B11:I11"/>
    <mergeCell ref="B16:I16"/>
    <mergeCell ref="B14:I14"/>
    <mergeCell ref="B17:I17"/>
  </mergeCell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22" customWidth="1" min="4" max="4"/>
    <col width="100" customWidth="1" min="5" max="5"/>
  </cols>
  <sheetData>
    <row r="1">
      <c r="A1" s="1" t="inlineStr">
        <is>
          <t>コマ</t>
        </is>
      </c>
      <c r="B1" s="1" t="inlineStr">
        <is>
          <t>コマ名</t>
        </is>
      </c>
      <c r="C1" s="1" t="inlineStr">
        <is>
          <t>使いどころ</t>
        </is>
      </c>
      <c r="D1" s="1" t="inlineStr">
        <is>
          <t>表示時間の目安（BPM100なら1拍＝0.6秒）</t>
        </is>
      </c>
      <c r="E1" s="10" t="inlineStr">
        <is>
          <t>【ChatGPT】差分プロンプト（並び絵を添付してコピペ）</t>
        </is>
      </c>
    </row>
    <row r="2">
      <c r="A2" s="3" t="inlineStr">
        <is>
          <t>A</t>
        </is>
      </c>
      <c r="B2" s="3" t="inlineStr">
        <is>
          <t>基本（もとの並び絵）</t>
        </is>
      </c>
      <c r="C2" s="3" t="inlineStr">
        <is>
          <t>今ある並び絵をそのまま使う。プロンプト不要</t>
        </is>
      </c>
      <c r="D2" s="3" t="inlineStr">
        <is>
          <t>1拍</t>
        </is>
      </c>
      <c r="E2" s="3" t="inlineStr">
        <is>
          <t>—</t>
        </is>
      </c>
    </row>
    <row r="3">
      <c r="A3" s="3" t="inlineStr">
        <is>
          <t>B</t>
        </is>
      </c>
      <c r="B3" s="3" t="inlineStr">
        <is>
          <t>ゆれ右（交互）</t>
        </is>
      </c>
      <c r="C3" s="3" t="inlineStr">
        <is>
          <t>Aと交互に表示してノリを出す基本の動き</t>
        </is>
      </c>
      <c r="D3" s="3" t="inlineStr">
        <is>
          <t>1拍</t>
        </is>
      </c>
      <c r="E3" s="12" t="inlineStr">
        <is>
          <t>Edit the attached image. Keep everything exactly the same: the same six characters, same art style, same colors, same outfits, same props, same plain solid background, same size, same left-to-right order and positions, same framing. Only change the poses: a fun dance move. Counting from the left, characters 1, 3 and 5 lean their bodies to the right and lift their left foot slightly; characters 2, 4 and 6 lean to the left and lift their right foot slightly. Heads tilt with the lean, happy smiling faces, props raised a little. Feet stay close to the same baseline. No text, no letters, no logos, no watermark.</t>
        </is>
      </c>
    </row>
    <row r="4">
      <c r="A4" s="3" t="inlineStr">
        <is>
          <t>C</t>
        </is>
      </c>
      <c r="B4" s="3" t="inlineStr">
        <is>
          <t>ゆれ左（交互）</t>
        </is>
      </c>
      <c r="C4" s="3" t="inlineStr">
        <is>
          <t>Bの左右反対。A→B→A→C でくり返すと踊って見える</t>
        </is>
      </c>
      <c r="D4" s="3" t="inlineStr">
        <is>
          <t>1拍</t>
        </is>
      </c>
      <c r="E4" s="12" t="inlineStr">
        <is>
          <t>Edit the attached image. Keep everything exactly the same: the same six characters, same art style, same colors, same outfits, same props, same plain solid background, same size, same left-to-right order and positions, same framing. Only change the poses: a fun dance move, mirrored from the previous pose. Counting from the left, characters 1, 3 and 5 lean their bodies to the left and lift their right foot slightly; characters 2, 4 and 6 lean to the right and lift their left foot slightly. Heads tilt with the lean, happy smiling faces, props raised a little. Feet stay close to the same baseline. No text, no letters, no logos, no watermark.</t>
        </is>
      </c>
    </row>
    <row r="5">
      <c r="A5" s="3" t="inlineStr">
        <is>
          <t>D</t>
        </is>
      </c>
      <c r="B5" s="3" t="inlineStr">
        <is>
          <t>うなずき（ヘッドノッド）</t>
        </is>
      </c>
      <c r="C5" s="3" t="inlineStr">
        <is>
          <t>ビートに合わせたうなずき。Aと交互にすると落ち着いたノリ</t>
        </is>
      </c>
      <c r="D5" s="3" t="inlineStr">
        <is>
          <t>半拍</t>
        </is>
      </c>
      <c r="E5" s="12" t="inlineStr">
        <is>
          <t>Edit the attached image. Keep everything exactly the same: the same six characters, same art style, same colors, same outfits, same props, same plain solid background, same size, same left-to-right order and positions, same framing. Only change the poses: a head-nod groove. All six characters bend their knees slightly and dip their heads down, eyes closed with content smiles, as if nodding to the beat. Bodies stay in place. No text, no letters, no logos, no watermark.</t>
        </is>
      </c>
    </row>
    <row r="6">
      <c r="A6" s="3" t="inlineStr">
        <is>
          <t>E</t>
        </is>
      </c>
      <c r="B6" s="3" t="inlineStr">
        <is>
          <t>ジャンプ（サビ用）</t>
        </is>
      </c>
      <c r="C6" s="3" t="inlineStr">
        <is>
          <t>サビや盛り上がりで数回だけ入れる決めポーズ</t>
        </is>
      </c>
      <c r="D6" s="3" t="inlineStr">
        <is>
          <t>1拍</t>
        </is>
      </c>
      <c r="E6" s="12" t="inlineStr">
        <is>
          <t>Edit the attached image. Keep everything exactly the same: the same six characters, same art style, same colors, same outfits, same props, same plain solid background, same size, same left-to-right order and positions, same framing. Only change the poses: a joyful jump. All six characters jump slightly with both arms raised, holding their props up high, feet just off the ground, big open-mouth smiles. Keep the same horizontal positions. No text, no letters, no logos, no watermark.</t>
        </is>
      </c>
    </row>
    <row r="8">
      <c r="A8" s="6" t="inlineStr">
        <is>
          <t>作り方</t>
        </is>
      </c>
    </row>
    <row r="9">
      <c r="A9" s="5" t="inlineStr">
        <is>
          <t>1. 並び絵（コマA）ができたチャットで、その画像を添付したまま B→C→D→E の順にプロンプトを1つずつ送る（1回に1枚）</t>
        </is>
      </c>
    </row>
    <row r="10">
      <c r="A10" s="5" t="inlineStr">
        <is>
          <t>2. キャラの位置や服がズレたら「↻」で作り直す。ズレが大きいときは、コマAを添付し直して新しいチャットで送る</t>
        </is>
      </c>
    </row>
    <row r="11">
      <c r="A11" s="5" t="inlineStr">
        <is>
          <t>3. 全コマを同じ名前ルールで保存（例：01_A.png, 01_B.png …　01は企画No）</t>
        </is>
      </c>
    </row>
    <row r="12">
      <c r="A12" s="5" t="inlineStr">
        <is>
          <t>4. CapCut／Canvaで A→B→A→C を1拍ずつ並べてループ。サビで E をはさむ。うなずきだけにしたいときは A→D をくり返す</t>
        </is>
      </c>
    </row>
    <row r="13">
      <c r="A13" s="5" t="inlineStr">
        <is>
          <t>5. 曲のBPMに合わせると気持ちよく見える：BPM96＝0.63秒、BPM100＝0.6秒、BPM104＝0.58秒（60÷BPM）</t>
        </is>
      </c>
    </row>
    <row r="14">
      <c r="A14" s="5" t="inlineStr">
        <is>
          <t>コツ：B・Cは奇数番目と偶数番目が逆に動くので、2枚だけでも「波」のように踊って見えます</t>
        </is>
      </c>
    </row>
  </sheetData>
  <mergeCells count="7">
    <mergeCell ref="A12:E12"/>
    <mergeCell ref="A14:E14"/>
    <mergeCell ref="A10:E10"/>
    <mergeCell ref="A11:E11"/>
    <mergeCell ref="A13:E13"/>
    <mergeCell ref="A8:E8"/>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8"/>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40" customWidth="1" min="4" max="4"/>
    <col width="36" customWidth="1" min="5" max="5"/>
    <col width="30" customWidth="1" min="6" max="6"/>
    <col width="36" customWidth="1" min="7" max="7"/>
    <col width="40" customWidth="1" min="8" max="8"/>
    <col width="24" customWidth="1" min="9" max="9"/>
    <col width="9" customWidth="1" min="10" max="10"/>
    <col width="28" customWidth="1" min="11" max="11"/>
    <col width="22" customWidth="1" min="12" max="12"/>
    <col width="60" customWidth="1" min="13" max="13"/>
    <col width="80" customWidth="1" min="14" max="14"/>
    <col width="30" customWidth="1" min="15" max="15"/>
    <col width="44" customWidth="1" min="16" max="16"/>
    <col width="40" customWidth="1" min="17" max="17"/>
  </cols>
  <sheetData>
    <row r="1">
      <c r="A1" s="1" t="inlineStr">
        <is>
          <t>No</t>
        </is>
      </c>
      <c r="B1" s="1" t="inlineStr">
        <is>
          <t>キャラ名</t>
        </is>
      </c>
      <c r="C1" s="1" t="inlineStr">
        <is>
          <t>グループ</t>
        </is>
      </c>
      <c r="D1" s="1" t="inlineStr">
        <is>
          <t>性格・一言設定</t>
        </is>
      </c>
      <c r="E1" s="1" t="inlineStr">
        <is>
          <t>衣装と配色</t>
        </is>
      </c>
      <c r="F1" s="1" t="inlineStr">
        <is>
          <t>持ち物・小道具</t>
        </is>
      </c>
      <c r="G1" s="1" t="inlineStr">
        <is>
          <t>舞台シーン</t>
        </is>
      </c>
      <c r="H1" s="1" t="inlineStr">
        <is>
          <t>ループの動き</t>
        </is>
      </c>
      <c r="I1" s="1" t="inlineStr">
        <is>
          <t>音楽ジャンル</t>
        </is>
      </c>
      <c r="J1" s="1" t="inlineStr">
        <is>
          <t>BPM目安</t>
        </is>
      </c>
      <c r="K1" s="1" t="inlineStr">
        <is>
          <t>主な和楽器</t>
        </is>
      </c>
      <c r="L1" s="1" t="inlineStr">
        <is>
          <t>雰囲気・聴く場面</t>
        </is>
      </c>
      <c r="M1" s="9" t="inlineStr">
        <is>
          <t>【Suno】Style欄にコピペ（インスト版）</t>
        </is>
      </c>
      <c r="N1" s="10" t="inlineStr">
        <is>
          <t>【ChatGPT】キャラ画像プロンプト（コピペ）</t>
        </is>
      </c>
      <c r="O1" s="1" t="inlineStr">
        <is>
          <t>サムネ案</t>
        </is>
      </c>
      <c r="P1" s="1" t="inlineStr">
        <is>
          <t>動画タイトル案</t>
        </is>
      </c>
      <c r="Q1" s="1" t="inlineStr">
        <is>
          <t>注意点</t>
        </is>
      </c>
    </row>
    <row r="2">
      <c r="A2" s="2" t="n">
        <v>1</v>
      </c>
      <c r="B2" s="3" t="inlineStr">
        <is>
          <t>侍集団の隊長</t>
        </is>
      </c>
      <c r="C2" s="3" t="inlineStr">
        <is>
          <t>武士</t>
        </is>
      </c>
      <c r="D2" s="3" t="inlineStr">
        <is>
          <t>無口で頼れるリーダー。ビートが鳴ると誰より先に首を振る</t>
        </is>
      </c>
      <c r="E2" s="3" t="inlineStr">
        <is>
          <t>藍の羽織に朱の紐、からし色の袴。鉢巻は藍</t>
        </is>
      </c>
      <c r="F2" s="3" t="inlineStr">
        <is>
          <t>刀（鞘のまま）、大きめのヘッドホンを首に</t>
        </is>
      </c>
      <c r="G2" s="3" t="inlineStr">
        <is>
          <t>夕暮れの城下町の石段に部下と並んで座る</t>
        </is>
      </c>
      <c r="H2" s="3" t="inlineStr">
        <is>
          <t>腕組みのまま頭を前後にゆっくりリズム取り／羽織の裾がそよぐ</t>
        </is>
      </c>
      <c r="I2" s="3" t="inlineStr">
        <is>
          <t>Japanese boom bap</t>
        </is>
      </c>
      <c r="J2" s="3" t="inlineStr">
        <is>
          <t>86–90</t>
        </is>
      </c>
      <c r="K2" s="3" t="inlineStr">
        <is>
          <t>尺八、太鼓、三味線</t>
        </is>
      </c>
      <c r="L2" s="3" t="inlineStr">
        <is>
          <t>集中作業・勉強</t>
        </is>
      </c>
      <c r="M2" s="11" t="inlineStr">
        <is>
          <t>Japanese boom bap, dusty drums, shakuhachi melody, shamisen plucks, taiko accents, warm vinyl crackle, steady head-nod groove, 88 bpm, instrumental, no vocals</t>
        </is>
      </c>
      <c r="N2"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calm samurai captain in an indigo haori with vermilion cords and mustard hakama, arms crossed, sitting on stone steps of a castle town at dusk with his crew behind him, headphones around his neck.</t>
        </is>
      </c>
      <c r="O2" s="3" t="inlineStr">
        <is>
          <t>隊長のドヤ顔／夕焼けの城／「集中」</t>
        </is>
      </c>
      <c r="P2" s="3" t="inlineStr">
        <is>
          <t>Samurai Boom Bap – Lo-fi Japanese Beats for Deep Focus</t>
        </is>
      </c>
      <c r="Q2" s="3" t="inlineStr">
        <is>
          <t>全キャラ共通：健全・上品に。刀は抜かない・血や戦闘描写なし。武器は鞘に収めた状態で</t>
        </is>
      </c>
    </row>
    <row r="3">
      <c r="A3" s="2" t="n">
        <v>2</v>
      </c>
      <c r="B3" s="3" t="inlineStr">
        <is>
          <t>若侍（レコードを抱える）</t>
        </is>
      </c>
      <c r="C3" s="3" t="inlineStr">
        <is>
          <t>武士</t>
        </is>
      </c>
      <c r="D3" s="3" t="inlineStr">
        <is>
          <t>音楽オタクの新米侍。レコード屋巡りが休日の楽しみ</t>
        </is>
      </c>
      <c r="E3" s="3" t="inlineStr">
        <is>
          <t>抹茶色の着物に藍の袴、前髪の残る髷</t>
        </is>
      </c>
      <c r="F3" s="3" t="inlineStr">
        <is>
          <t>LPレコードを両腕で抱える、風呂敷包み</t>
        </is>
      </c>
      <c r="G3" s="3" t="inlineStr">
        <is>
          <t>古道具屋の店先、木箱にレコードが並ぶ</t>
        </is>
      </c>
      <c r="H3" s="3" t="inlineStr">
        <is>
          <t>抱えたレコードを軽く揺らしながら足でリズム／瞬き</t>
        </is>
      </c>
      <c r="I3" s="3" t="inlineStr">
        <is>
          <t>Japanese jazzhop</t>
        </is>
      </c>
      <c r="J3" s="3" t="inlineStr">
        <is>
          <t>80–85</t>
        </is>
      </c>
      <c r="K3" s="3" t="inlineStr">
        <is>
          <t>琴、ローズピアノ、ウッドベース</t>
        </is>
      </c>
      <c r="L3" s="3" t="inlineStr">
        <is>
          <t>朝・作業・読書</t>
        </is>
      </c>
      <c r="M3" s="11" t="inlineStr">
        <is>
          <t>Japanese jazzhop, mellow rhodes chords, koto riffs, upright bass, soft swung drums, vinyl crackle, cozy morning feel, 82 bpm, instrumental, no vocals</t>
        </is>
      </c>
      <c r="N3"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young samurai boy in a matcha green kimono and indigo hakama hugging a vinyl record with a happy face, standing in front of an old antique shop with crates of records.</t>
        </is>
      </c>
      <c r="O3" s="3" t="inlineStr">
        <is>
          <t>レコードを抱く笑顔／木箱のレコード／「朝」</t>
        </is>
      </c>
      <c r="P3" s="3" t="inlineStr">
        <is>
          <t>Young Samurai Crate Digging – Japanese Jazzhop Morning Mix</t>
        </is>
      </c>
      <c r="Q3" s="3" t="inlineStr">
        <is>
          <t>全キャラ共通：健全・上品に。実在のレコードジャケット・ロゴを描かない</t>
        </is>
      </c>
    </row>
    <row r="4">
      <c r="A4" s="2" t="n">
        <v>3</v>
      </c>
      <c r="B4" s="3" t="inlineStr">
        <is>
          <t>浪人DJ</t>
        </is>
      </c>
      <c r="C4" s="3" t="inlineStr">
        <is>
          <t>武士</t>
        </is>
      </c>
      <c r="D4" s="3" t="inlineStr">
        <is>
          <t>流れ者のクールなDJ。しゃべらず皿で語る</t>
        </is>
      </c>
      <c r="E4" s="3" t="inlineStr">
        <is>
          <t>色あせた藍の着流し、朱の帯、編笠</t>
        </is>
      </c>
      <c r="F4" s="3" t="inlineStr">
        <is>
          <t>ターンテーブル（木製風）、徳利</t>
        </is>
      </c>
      <c r="G4" s="3" t="inlineStr">
        <is>
          <t>月夜の河原に置いた木箱のDJブース</t>
        </is>
      </c>
      <c r="H4" s="3" t="inlineStr">
        <is>
          <t>片手でレコードをスクラッチ、編笠がわずかに上下</t>
        </is>
      </c>
      <c r="I4" s="3" t="inlineStr">
        <is>
          <t>Japanese boom bap / turntablism</t>
        </is>
      </c>
      <c r="J4" s="3" t="inlineStr">
        <is>
          <t>90–94</t>
        </is>
      </c>
      <c r="K4" s="3" t="inlineStr">
        <is>
          <t>三味線、尺八、和太鼓</t>
        </is>
      </c>
      <c r="L4" s="3" t="inlineStr">
        <is>
          <t>夜・ドライブ</t>
        </is>
      </c>
      <c r="M4" s="11" t="inlineStr">
        <is>
          <t>gritty Japanese boom bap, chopped shamisen samples, record scratches, deep kick, shakuhachi breath, moonlit night vibe, 92 bpm, instrumental, no vocals</t>
        </is>
      </c>
      <c r="N4"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cool wandering ronin DJ wearing a faded indigo kimono and woven straw hat, scratching a wooden turntable on a riverbank under a full moon.</t>
        </is>
      </c>
      <c r="O4" s="3" t="inlineStr">
        <is>
          <t>編笠の浪人／ターンテーブル／満月</t>
        </is>
      </c>
      <c r="P4" s="3" t="inlineStr">
        <is>
          <t>Ronin on the Decks – Japanese Hip Hop Instrumentals for Night</t>
        </is>
      </c>
      <c r="Q4" s="3" t="inlineStr">
        <is>
          <t>全キャラ共通：健全・上品に。徳利は飲酒を強調しない（小道具として置く程度）</t>
        </is>
      </c>
    </row>
    <row r="5">
      <c r="A5" s="2" t="n">
        <v>4</v>
      </c>
      <c r="B5" s="3" t="inlineStr">
        <is>
          <t>侍の休日（浴衣で縁側）</t>
        </is>
      </c>
      <c r="C5" s="3" t="inlineStr">
        <is>
          <t>武士</t>
        </is>
      </c>
      <c r="D5" s="3" t="inlineStr">
        <is>
          <t>非番の日はとことんのんびり。スイカが好物</t>
        </is>
      </c>
      <c r="E5" s="3" t="inlineStr">
        <is>
          <t>藍地に白い流水柄の浴衣、からし色の帯</t>
        </is>
      </c>
      <c r="F5" s="3" t="inlineStr">
        <is>
          <t>うちわ、スイカ、風鈴、蚊取り線香</t>
        </is>
      </c>
      <c r="G5" s="3" t="inlineStr">
        <is>
          <t>夏の縁側、庭に朝顔</t>
        </is>
      </c>
      <c r="H5" s="3" t="inlineStr">
        <is>
          <t>うちわをゆっくり扇ぐ／風鈴が揺れる／蚊取り線香の煙</t>
        </is>
      </c>
      <c r="I5" s="3" t="inlineStr">
        <is>
          <t>Japanese chillhop / jazzhop</t>
        </is>
      </c>
      <c r="J5" s="3" t="inlineStr">
        <is>
          <t>72–78</t>
        </is>
      </c>
      <c r="K5" s="3" t="inlineStr">
        <is>
          <t>琴、風鈴SE、エレピ、ナイロンギター</t>
        </is>
      </c>
      <c r="L5" s="3" t="inlineStr">
        <is>
          <t>夏の昼・リラックス</t>
        </is>
      </c>
      <c r="M5" s="11" t="inlineStr">
        <is>
          <t>chill Japanese jazzhop, lazy summer afternoon, koto and nylon guitar, soft rhodes, wind chime ambience, gentle brushed drums, 75 bpm, instrumental, no vocals</t>
        </is>
      </c>
      <c r="N5"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An off-duty samurai relaxing on a wooden engawa porch in an indigo yukata with flowing-water pattern, fanning himself with an uchiwa, slice of watermelon and wind chime nearby, morning glories in the garden.</t>
        </is>
      </c>
      <c r="O5" s="3" t="inlineStr">
        <is>
          <t>縁側でうちわ／スイカ／「夏休み」</t>
        </is>
      </c>
      <c r="P5" s="3" t="inlineStr">
        <is>
          <t>Samurai's Day Off – Summer Japanese Chillhop</t>
        </is>
      </c>
      <c r="Q5" s="3" t="inlineStr">
        <is>
          <t>全キャラ共通：健全・上品に。季節もの。夏（6〜8月）に公開推奨</t>
        </is>
      </c>
    </row>
    <row r="6">
      <c r="A6" s="2" t="n">
        <v>5</v>
      </c>
      <c r="B6" s="3" t="inlineStr">
        <is>
          <t>若殿と家臣団</t>
        </is>
      </c>
      <c r="C6" s="3" t="inlineStr">
        <is>
          <t>武士</t>
        </is>
      </c>
      <c r="D6" s="3" t="inlineStr">
        <is>
          <t>わがままだけど憎めない若殿と、振り回される家臣たち</t>
        </is>
      </c>
      <c r="E6" s="3" t="inlineStr">
        <is>
          <t>若殿：朱の裃に金茶の紋。家臣：藍とからし色の裃</t>
        </is>
      </c>
      <c r="F6" s="3" t="inlineStr">
        <is>
          <t>扇子、茶碗、巻物</t>
        </is>
      </c>
      <c r="G6" s="3" t="inlineStr">
        <is>
          <t>城の広間、障子越しの光</t>
        </is>
      </c>
      <c r="H6" s="3" t="inlineStr">
        <is>
          <t>若殿が扇子でリズム、家臣が交代でうなずく</t>
        </is>
      </c>
      <c r="I6" s="3" t="inlineStr">
        <is>
          <t>Japanese groove / funk-hop</t>
        </is>
      </c>
      <c r="J6" s="3" t="inlineStr">
        <is>
          <t>95–100</t>
        </is>
      </c>
      <c r="K6" s="3" t="inlineStr">
        <is>
          <t>鼓、篠笛、ベース、クラビネット</t>
        </is>
      </c>
      <c r="L6" s="3" t="inlineStr">
        <is>
          <t>朝の家事・気分上げ</t>
        </is>
      </c>
      <c r="M6" s="11" t="inlineStr">
        <is>
          <t>upbeat Japanese funk-hop groove, slap bass, clavinet, tsuzumi hand drums, shinobue flute riffs, playful bouncy rhythm, 98 bpm, instrumental, no vocals</t>
        </is>
      </c>
      <c r="N6"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cheeky young lord in a vermilion kamishimo tapping a folding fan, surrounded by nodding retainers in indigo and mustard kamishimo, inside a castle hall with shoji light.</t>
        </is>
      </c>
      <c r="O6" s="3" t="inlineStr">
        <is>
          <t>扇子の若殿／家臣ずらり／「ご機嫌」</t>
        </is>
      </c>
      <c r="P6" s="3" t="inlineStr">
        <is>
          <t>The Young Lord's Groove – Funky Japanese Beats</t>
        </is>
      </c>
      <c r="Q6" s="3" t="inlineStr">
        <is>
          <t>全キャラ共通：健全・上品に。実在の家紋を使わない</t>
        </is>
      </c>
    </row>
    <row r="7">
      <c r="A7" s="2" t="n">
        <v>6</v>
      </c>
      <c r="B7" s="3" t="inlineStr">
        <is>
          <t>阿波踊り連</t>
        </is>
      </c>
      <c r="C7" s="3" t="inlineStr">
        <is>
          <t>祭り</t>
        </is>
      </c>
      <c r="D7" s="3" t="inlineStr">
        <is>
          <t>踊る阿呆に見る阿呆。全員ノリノリの踊り手集団</t>
        </is>
      </c>
      <c r="E7" s="3" t="inlineStr">
        <is>
          <t>藍の法被、編笠（女踊り）、からし色の手拭い</t>
        </is>
      </c>
      <c r="F7" s="3" t="inlineStr">
        <is>
          <t>うちわ、提灯、鉦</t>
        </is>
      </c>
      <c r="G7" s="3" t="inlineStr">
        <is>
          <t>夏祭りの夜道、提灯の列</t>
        </is>
      </c>
      <c r="H7" s="3" t="inlineStr">
        <is>
          <t>全員で手を上げ下げする小さなステップ、提灯が揺れる</t>
        </is>
      </c>
      <c r="I7" s="3" t="inlineStr">
        <is>
          <t>Japanese groove / breakbeat</t>
        </is>
      </c>
      <c r="J7" s="3" t="inlineStr">
        <is>
          <t>100–110</t>
        </is>
      </c>
      <c r="K7" s="3" t="inlineStr">
        <is>
          <t>鉦、締太鼓、篠笛、三味線</t>
        </is>
      </c>
      <c r="L7" s="3" t="inlineStr">
        <is>
          <t>気分を上げたい時・掃除</t>
        </is>
      </c>
      <c r="M7" s="11" t="inlineStr">
        <is>
          <t>festive Japanese breakbeat groove, kane bell, shime-daiko, shinobue melody, shamisen strums, funky bass, joyful dance energy, 104 bpm, instrumental, no vocals</t>
        </is>
      </c>
      <c r="N7"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An Awa-odori dance troupe of chibi dancers in indigo happi coats and straw hats, raising hands in rhythm on a festival street lined with glowing paper lanterns.</t>
        </is>
      </c>
      <c r="O7" s="3" t="inlineStr">
        <is>
          <t>踊る連／提灯の列／「踊れ」</t>
        </is>
      </c>
      <c r="P7" s="3" t="inlineStr">
        <is>
          <t>Awa Odori Breaks – Festival Groove Mix</t>
        </is>
      </c>
      <c r="Q7" s="3" t="inlineStr">
        <is>
          <t>全キャラ共通：健全・上品に。特定の実在連の名前・意匠を使わない</t>
        </is>
      </c>
    </row>
    <row r="8">
      <c r="A8" s="2" t="n">
        <v>7</v>
      </c>
      <c r="B8" s="3" t="inlineStr">
        <is>
          <t>花魁（三味線持ち）</t>
        </is>
      </c>
      <c r="C8" s="3" t="inlineStr">
        <is>
          <t>夜</t>
        </is>
      </c>
      <c r="D8" s="3" t="inlineStr">
        <is>
          <t>芸に厳しい上品な名手。三味線の腕は町一番</t>
        </is>
      </c>
      <c r="E8" s="3" t="inlineStr">
        <is>
          <t>藍と朱の重ね着、からし色の帯（前結びにしない・露出なし）、控えめな簪</t>
        </is>
      </c>
      <c r="F8" s="3" t="inlineStr">
        <is>
          <t>三味線、撥</t>
        </is>
      </c>
      <c r="G8" s="3" t="inlineStr">
        <is>
          <t>格子窓のある座敷、行灯の光</t>
        </is>
      </c>
      <c r="H8" s="3" t="inlineStr">
        <is>
          <t>撥で三味線をゆっくり弾く、行灯の炎が揺れる</t>
        </is>
      </c>
      <c r="I8" s="3" t="inlineStr">
        <is>
          <t>Japanese jazzhop</t>
        </is>
      </c>
      <c r="J8" s="3" t="inlineStr">
        <is>
          <t>76–82</t>
        </is>
      </c>
      <c r="K8" s="3" t="inlineStr">
        <is>
          <t>三味線、琴、ウッドベース、ローズピアノ</t>
        </is>
      </c>
      <c r="L8" s="3" t="inlineStr">
        <is>
          <t>夜・読書</t>
        </is>
      </c>
      <c r="M8" s="11" t="inlineStr">
        <is>
          <t>elegant Japanese jazzhop, refined shamisen phrases, koto, upright bass, rhodes piano, soft lantern-lit night mood, 78 bpm, instrumental, no vocals</t>
        </is>
      </c>
      <c r="N8"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An elegant musician lady in modest layered kimono of indigo and vermilion, fully covered, calm dignified smile, playing shamisen in a tatami room lit by an andon lantern.</t>
        </is>
      </c>
      <c r="O8" s="3" t="inlineStr">
        <is>
          <t>三味線を弾く横顔／行灯／「夜」</t>
        </is>
      </c>
      <c r="P8" s="3" t="inlineStr">
        <is>
          <t>Shamisen Nights – Elegant Japanese Jazzhop</t>
        </is>
      </c>
      <c r="Q8" s="3" t="inlineStr">
        <is>
          <t>全キャラ共通：健全・上品に。露出・色っぽさ・流し目NG。プロンプトに modest, fully covered, dignified を必ず入れる。「oiran」の語は避け musician lady と表現</t>
        </is>
      </c>
    </row>
    <row r="9">
      <c r="A9" s="2" t="n">
        <v>8</v>
      </c>
      <c r="B9" s="3" t="inlineStr">
        <is>
          <t>ソーラン節の漁師衆</t>
        </is>
      </c>
      <c r="C9" s="3" t="inlineStr">
        <is>
          <t>祭り</t>
        </is>
      </c>
      <c r="D9" s="3" t="inlineStr">
        <is>
          <t>海の男たち。網を引くかけ声代わりにビートを刻む</t>
        </is>
      </c>
      <c r="E9" s="3" t="inlineStr">
        <is>
          <t>藍の半纏、朱の鉢巻、からし色の腹掛け</t>
        </is>
      </c>
      <c r="F9" s="3" t="inlineStr">
        <is>
          <t>網、櫂、大漁旗（文字なし）</t>
        </is>
      </c>
      <c r="G9" s="3" t="inlineStr">
        <is>
          <t>朝焼けの漁港、小舟の上</t>
        </is>
      </c>
      <c r="H9" s="3" t="inlineStr">
        <is>
          <t>網を引く動作をリズムに合わせて繰り返す、波が上下</t>
        </is>
      </c>
      <c r="I9" s="3" t="inlineStr">
        <is>
          <t>Japanese boom bap / work-song groove</t>
        </is>
      </c>
      <c r="J9" s="3" t="inlineStr">
        <is>
          <t>92–96</t>
        </is>
      </c>
      <c r="K9" s="3" t="inlineStr">
        <is>
          <t>和太鼓、三味線、尺八、ベース</t>
        </is>
      </c>
      <c r="L9" s="3" t="inlineStr">
        <is>
          <t>朝・筋トレ・作業開始</t>
        </is>
      </c>
      <c r="M9" s="11" t="inlineStr">
        <is>
          <t>Japanese boom bap with work song energy, heavy taiko kicks, shamisen riffs, shakuhachi, punchy bass, sunrise harbor vibe, 94 bpm, instrumental, no vocals</t>
        </is>
      </c>
      <c r="N9"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crew of chibi fishermen in indigo hanten and vermilion headbands pulling a net together on a small wooden boat at a sunrise harbor.</t>
        </is>
      </c>
      <c r="O9" s="3" t="inlineStr">
        <is>
          <t>網を引く漁師／朝焼け／「大漁」</t>
        </is>
      </c>
      <c r="P9" s="3" t="inlineStr">
        <is>
          <t>Soran Harbor Beats – Japanese Work Groove</t>
        </is>
      </c>
      <c r="Q9" s="3" t="inlineStr">
        <is>
          <t>全キャラ共通：健全・上品に。大漁旗に実在の文字・社名を入れない</t>
        </is>
      </c>
    </row>
    <row r="10">
      <c r="A10" s="2" t="n">
        <v>9</v>
      </c>
      <c r="B10" s="3" t="inlineStr">
        <is>
          <t>木魚ビート僧</t>
        </is>
      </c>
      <c r="C10" s="3" t="inlineStr">
        <is>
          <t>宗教</t>
        </is>
      </c>
      <c r="D10" s="3" t="inlineStr">
        <is>
          <t>読経のリズム感が抜群すぎて木魚でビートを刻み始めた</t>
        </is>
      </c>
      <c r="E10" s="3" t="inlineStr">
        <is>
          <t>墨染めの衣、からし色の袈裟</t>
        </is>
      </c>
      <c r="F10" s="3" t="inlineStr">
        <is>
          <t>木魚、撥、数珠</t>
        </is>
      </c>
      <c r="G10" s="3" t="inlineStr">
        <is>
          <t>山寺の本堂、線香の煙</t>
        </is>
      </c>
      <c r="H10" s="3" t="inlineStr">
        <is>
          <t>木魚をポクポク叩く、線香の煙がゆらぐ</t>
        </is>
      </c>
      <c r="I10" s="3" t="inlineStr">
        <is>
          <t>Japanese boom bap / lo-fi</t>
        </is>
      </c>
      <c r="J10" s="3" t="inlineStr">
        <is>
          <t>84–88</t>
        </is>
      </c>
      <c r="K10" s="3" t="inlineStr">
        <is>
          <t>木魚、鈴（りん）、尺八、ベース</t>
        </is>
      </c>
      <c r="L10" s="3" t="inlineStr">
        <is>
          <t>瞑想・集中</t>
        </is>
      </c>
      <c r="M10" s="11" t="inlineStr">
        <is>
          <t>minimal Japanese lo-fi boom bap, mokugyo wooden block as percussion, singing bowl bell, shakuhachi, deep warm bass, meditative focus, 86 bpm, instrumental, no vocals</t>
        </is>
      </c>
      <c r="N10"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cheerful chibi monk in a black robe and mustard kesa tapping a wooden mokugyo like a drum, inside a mountain temple hall with incense smoke.</t>
        </is>
      </c>
      <c r="O10" s="3" t="inlineStr">
        <is>
          <t>木魚を叩く僧／線香の煙／「無心」</t>
        </is>
      </c>
      <c r="P10" s="3" t="inlineStr">
        <is>
          <t>Mokugyo Beats – Zen Lo-fi for Focus</t>
        </is>
      </c>
      <c r="Q10" s="3" t="inlineStr">
        <is>
          <t>全キャラ共通：健全・上品に。宗教を茶化しすぎない。読経の音声サンプルは使わない</t>
        </is>
      </c>
    </row>
    <row r="11">
      <c r="A11" s="2" t="n">
        <v>10</v>
      </c>
      <c r="B11" s="3" t="inlineStr">
        <is>
          <t>昼寝する小僧さん</t>
        </is>
      </c>
      <c r="C11" s="3" t="inlineStr">
        <is>
          <t>宗教</t>
        </is>
      </c>
      <c r="D11" s="3" t="inlineStr">
        <is>
          <t>修行の合間にこっそり昼寝。猫と仲良し</t>
        </is>
      </c>
      <c r="E11" s="3" t="inlineStr">
        <is>
          <t>灰色の作務衣、抹茶色の前掛け</t>
        </is>
      </c>
      <c r="F11" s="3" t="inlineStr">
        <is>
          <t>ほうき、猫、湯呑み</t>
        </is>
      </c>
      <c r="G11" s="3" t="inlineStr">
        <is>
          <t>春の寺の縁側、桜の花びら</t>
        </is>
      </c>
      <c r="H11" s="3" t="inlineStr">
        <is>
          <t>胸が上下する寝息、猫のしっぽが揺れる、花びらが舞う</t>
        </is>
      </c>
      <c r="I11" s="3" t="inlineStr">
        <is>
          <t>Japanese chillhop / sleep lo-fi</t>
        </is>
      </c>
      <c r="J11" s="3" t="inlineStr">
        <is>
          <t>65–72</t>
        </is>
      </c>
      <c r="K11" s="3" t="inlineStr">
        <is>
          <t>琴、エレピ、柔らかいパッド</t>
        </is>
      </c>
      <c r="L11" s="3" t="inlineStr">
        <is>
          <t>睡眠・休憩</t>
        </is>
      </c>
      <c r="M11" s="11" t="inlineStr">
        <is>
          <t>sleepy Japanese chillhop, soft koto, warm electric piano, gentle tape hiss, slow lazy drums, spring nap mood, 68 bpm, instrumental, no vocals</t>
        </is>
      </c>
      <c r="N11"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little novice monk boy napping on a temple porch with a broom beside him and a cat curled up on his lap, cherry blossom petals drifting.</t>
        </is>
      </c>
      <c r="O11" s="3" t="inlineStr">
        <is>
          <t>昼寝の小僧／猫／桜</t>
        </is>
      </c>
      <c r="P11" s="3" t="inlineStr">
        <is>
          <t>Temple Nap – Sleepy Japanese Lo-fi</t>
        </is>
      </c>
      <c r="Q11" s="3" t="inlineStr">
        <is>
          <t>全キャラ共通：健全・上品に。春（3〜4月）向け</t>
        </is>
      </c>
    </row>
    <row r="12">
      <c r="A12" s="2" t="n">
        <v>11</v>
      </c>
      <c r="B12" s="3" t="inlineStr">
        <is>
          <t>屋根の上の忍者（ヘッドホン）</t>
        </is>
      </c>
      <c r="C12" s="3" t="inlineStr">
        <is>
          <t>夜</t>
        </is>
      </c>
      <c r="D12" s="3" t="inlineStr">
        <is>
          <t>任務より音楽。屋根の上が特等席</t>
        </is>
      </c>
      <c r="E12" s="3" t="inlineStr">
        <is>
          <t>藍の忍装束、朱のマフラー</t>
        </is>
      </c>
      <c r="F12" s="3" t="inlineStr">
        <is>
          <t>ヘッドホン、手裏剣（腰に収納）</t>
        </is>
      </c>
      <c r="G12" s="3" t="inlineStr">
        <is>
          <t>月夜の瓦屋根、遠くに城</t>
        </is>
      </c>
      <c r="H12" s="3" t="inlineStr">
        <is>
          <t>ヘッドホンで頭を揺らす、マフラーが風になびく</t>
        </is>
      </c>
      <c r="I12" s="3" t="inlineStr">
        <is>
          <t>Japanese boom bap / lo-fi hip hop</t>
        </is>
      </c>
      <c r="J12" s="3" t="inlineStr">
        <is>
          <t>85–90</t>
        </is>
      </c>
      <c r="K12" s="3" t="inlineStr">
        <is>
          <t>尺八、三味線、ベース、ビニールノイズ</t>
        </is>
      </c>
      <c r="L12" s="3" t="inlineStr">
        <is>
          <t>夜・深夜作業</t>
        </is>
      </c>
      <c r="M12" s="11" t="inlineStr">
        <is>
          <t>late night Japanese lo-fi hip hop, dusty boom bap drums, shakuhachi echo, muted shamisen, deep bass, moonlit rooftop atmosphere, 87 bpm, instrumental, no vocals</t>
        </is>
      </c>
      <c r="N12"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ninja in an indigo outfit and vermilion scarf sitting on a tiled rooftop at night wearing big headphones, bobbing his head, castle silhouette and full moon in the distance.</t>
        </is>
      </c>
      <c r="O12" s="3" t="inlineStr">
        <is>
          <t>屋根の忍者／満月／ヘッドホン</t>
        </is>
      </c>
      <c r="P12" s="3" t="inlineStr">
        <is>
          <t>Rooftop Ninja – Late Night Japanese Lo-fi</t>
        </is>
      </c>
      <c r="Q12" s="3" t="inlineStr">
        <is>
          <t>全キャラ共通：健全・上品に。チャンネルの看板候補。手裏剣は投げない</t>
        </is>
      </c>
    </row>
    <row r="13">
      <c r="A13" s="2" t="n">
        <v>12</v>
      </c>
      <c r="B13" s="3" t="inlineStr">
        <is>
          <t>見習い忍者</t>
        </is>
      </c>
      <c r="C13" s="3" t="inlineStr">
        <is>
          <t>夜</t>
        </is>
      </c>
      <c r="D13" s="3" t="inlineStr">
        <is>
          <t>ドジだけど一生懸命。修行中にもリズムが止まらない</t>
        </is>
      </c>
      <c r="E13" s="3" t="inlineStr">
        <is>
          <t>抹茶色の忍装束、大きめの頭巾</t>
        </is>
      </c>
      <c r="F13" s="3" t="inlineStr">
        <is>
          <t>巻物、竹筒の水筒</t>
        </is>
      </c>
      <c r="G13" s="3" t="inlineStr">
        <is>
          <t>竹林の修行場</t>
        </is>
      </c>
      <c r="H13" s="3" t="inlineStr">
        <is>
          <t>竹の上でバランスを取りながら小刻みに揺れる、笹が揺れる</t>
        </is>
      </c>
      <c r="I13" s="3" t="inlineStr">
        <is>
          <t>Japanese jazzhop</t>
        </is>
      </c>
      <c r="J13" s="3" t="inlineStr">
        <is>
          <t>88–92</t>
        </is>
      </c>
      <c r="K13" s="3" t="inlineStr">
        <is>
          <t>篠笛、琴、ドラム、ベース</t>
        </is>
      </c>
      <c r="L13" s="3" t="inlineStr">
        <is>
          <t>勉強・宿題</t>
        </is>
      </c>
      <c r="M13" s="11" t="inlineStr">
        <is>
          <t>playful Japanese jazzhop, shinobue flute melody, koto plucks, bouncy swung drums, warm bass, bamboo forest breeze, 90 bpm, instrumental, no vocals</t>
        </is>
      </c>
      <c r="N13"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clumsy apprentice ninja in a matcha green outfit with an oversized hood balancing on a bamboo stalk in a bamboo forest, determined face.</t>
        </is>
      </c>
      <c r="O13" s="3" t="inlineStr">
        <is>
          <t>竹の上の見習い／竹林／「修行中」</t>
        </is>
      </c>
      <c r="P13" s="3" t="inlineStr">
        <is>
          <t>Ninja Training Beats – Japanese Jazzhop for Study</t>
        </is>
      </c>
      <c r="Q13" s="3" t="inlineStr">
        <is>
          <t>全キャラ共通：健全・上品に。</t>
        </is>
      </c>
    </row>
    <row r="14">
      <c r="A14" s="2" t="n">
        <v>13</v>
      </c>
      <c r="B14" s="3" t="inlineStr">
        <is>
          <t>火消し</t>
        </is>
      </c>
      <c r="C14" s="3" t="inlineStr">
        <is>
          <t>祭り</t>
        </is>
      </c>
      <c r="D14" s="3" t="inlineStr">
        <is>
          <t>江戸の粋な火消し。纏を振るリズムは誰にも負けない</t>
        </is>
      </c>
      <c r="E14" s="3" t="inlineStr">
        <is>
          <t>藍の刺子半纏、朱の帯</t>
        </is>
      </c>
      <c r="F14" s="3" t="inlineStr">
        <is>
          <t>纏（まとい）、鳶口</t>
        </is>
      </c>
      <c r="G14" s="3" t="inlineStr">
        <is>
          <t>冬の江戸の町並み、はしご</t>
        </is>
      </c>
      <c r="H14" s="3" t="inlineStr">
        <is>
          <t>纏をくるくる回す、半纏の裾が揺れる</t>
        </is>
      </c>
      <c r="I14" s="3" t="inlineStr">
        <is>
          <t>Japanese funk / boom bap</t>
        </is>
      </c>
      <c r="J14" s="3" t="inlineStr">
        <is>
          <t>96–100</t>
        </is>
      </c>
      <c r="K14" s="3" t="inlineStr">
        <is>
          <t>和太鼓、拍子木、三味線、ブラス少なめ</t>
        </is>
      </c>
      <c r="L14" s="3" t="inlineStr">
        <is>
          <t>朝・やる気</t>
        </is>
      </c>
      <c r="M14" s="11" t="inlineStr">
        <is>
          <t>energetic Japanese boom bap funk, hyoshigi wooden clappers, taiko, shamisen riffs, punchy bass, brave Edo spirit, 98 bpm, instrumental, no vocals</t>
        </is>
      </c>
      <c r="N14"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An Edo firefighter in an indigo sashiko hanten twirling a matoi standard in a winter Edo town street with a wooden ladder.</t>
        </is>
      </c>
      <c r="O14" s="3" t="inlineStr">
        <is>
          <t>纏を回す火消し／江戸の町／「粋」</t>
        </is>
      </c>
      <c r="P14" s="3" t="inlineStr">
        <is>
          <t>Edo Firefighter Funk – Japanese Boom Bap</t>
        </is>
      </c>
      <c r="Q14" s="3" t="inlineStr">
        <is>
          <t>全キャラ共通：健全・上品に。炎・火事の描写は入れない</t>
        </is>
      </c>
    </row>
    <row r="15">
      <c r="A15" s="2" t="n">
        <v>14</v>
      </c>
      <c r="B15" s="3" t="inlineStr">
        <is>
          <t>太鼓の鬼</t>
        </is>
      </c>
      <c r="C15" s="3" t="inlineStr">
        <is>
          <t>妖怪</t>
        </is>
      </c>
      <c r="D15" s="3" t="inlineStr">
        <is>
          <t>見た目は鬼、中身は優しい太鼓好き</t>
        </is>
      </c>
      <c r="E15" s="3" t="inlineStr">
        <is>
          <t>朱色の肌、虎柄ではなくからし色の腰布、藍の鉢巻</t>
        </is>
      </c>
      <c r="F15" s="3" t="inlineStr">
        <is>
          <t>大太鼓、撥</t>
        </is>
      </c>
      <c r="G15" s="3" t="inlineStr">
        <is>
          <t>山の中の祭り櫓</t>
        </is>
      </c>
      <c r="H15" s="3" t="inlineStr">
        <is>
          <t>撥を振り下ろして太鼓を叩く（ループ）、太鼓の振動線</t>
        </is>
      </c>
      <c r="I15" s="3" t="inlineStr">
        <is>
          <t>Japanese boom bap / heavy groove</t>
        </is>
      </c>
      <c r="J15" s="3" t="inlineStr">
        <is>
          <t>90–95</t>
        </is>
      </c>
      <c r="K15" s="3" t="inlineStr">
        <is>
          <t>大太鼓、締太鼓、尺八、ベース</t>
        </is>
      </c>
      <c r="L15" s="3" t="inlineStr">
        <is>
          <t>筋トレ・気合い</t>
        </is>
      </c>
      <c r="M15" s="11" t="inlineStr">
        <is>
          <t>hard-hitting Japanese boom bap, massive taiko drums, shime-daiko rolls, shakuhachi, thick bass, bold but friendly groove, 92 bpm, instrumental, no vocals</t>
        </is>
      </c>
      <c r="N15"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friendly chubby oni with vermilion skin and small horns, mustard waist cloth and indigo headband, joyfully hitting a big taiko drum on a mountain festival tower.</t>
        </is>
      </c>
      <c r="O15" s="3" t="inlineStr">
        <is>
          <t>太鼓を叩く鬼／撥／「ドン」</t>
        </is>
      </c>
      <c r="P15" s="3" t="inlineStr">
        <is>
          <t>Taiko Oni Beats – Heavy Japanese Boom Bap</t>
        </is>
      </c>
      <c r="Q15" s="3" t="inlineStr">
        <is>
          <t>全キャラ共通：健全・上品に。怖くしない（丸い目・笑顔）</t>
        </is>
      </c>
    </row>
    <row r="16">
      <c r="A16" s="2" t="n">
        <v>15</v>
      </c>
      <c r="B16" s="3" t="inlineStr">
        <is>
          <t>屋台の大将</t>
        </is>
      </c>
      <c r="C16" s="3" t="inlineStr">
        <is>
          <t>夜</t>
        </is>
      </c>
      <c r="D16" s="3" t="inlineStr">
        <is>
          <t>無口な職人。一杯のラーメンに魂を込める</t>
        </is>
      </c>
      <c r="E16" s="3" t="inlineStr">
        <is>
          <t>白の作務衣、藍の前掛け、からし色の手拭い</t>
        </is>
      </c>
      <c r="F16" s="3" t="inlineStr">
        <is>
          <t>湯切りざる、どんぶり</t>
        </is>
      </c>
      <c r="G16" s="3" t="inlineStr">
        <is>
          <t>雨上がりの夜の屋台、赤提灯</t>
        </is>
      </c>
      <c r="H16" s="3" t="inlineStr">
        <is>
          <t>湯気が立ちのぼる、赤提灯が揺れる、湯切りの動作</t>
        </is>
      </c>
      <c r="I16" s="3" t="inlineStr">
        <is>
          <t>Japanese jazzhop / lo-fi</t>
        </is>
      </c>
      <c r="J16" s="3" t="inlineStr">
        <is>
          <t>78–84</t>
        </is>
      </c>
      <c r="K16" s="3" t="inlineStr">
        <is>
          <t>ローズピアノ、三味線、ウッドベース、雨音</t>
        </is>
      </c>
      <c r="L16" s="3" t="inlineStr">
        <is>
          <t>夜・作業・雨の日</t>
        </is>
      </c>
      <c r="M16" s="11" t="inlineStr">
        <is>
          <t>late night Japanese jazzhop, rhodes piano, gentle shamisen, upright bass, rain ambience, warm steam and red lantern mood, 80 bpm, instrumental, no vocals</t>
        </is>
      </c>
      <c r="N16"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quiet ramen stall master in a white samue and indigo apron draining noodles at a small yatai at night after rain, red paper lantern glowing, steam rising.</t>
        </is>
      </c>
      <c r="O16" s="3" t="inlineStr">
        <is>
          <t>湯気の屋台／赤提灯／「深夜」</t>
        </is>
      </c>
      <c r="P16" s="3" t="inlineStr">
        <is>
          <t>Midnight Yatai – Japanese Jazzhop for Late Night</t>
        </is>
      </c>
      <c r="Q16" s="3" t="inlineStr">
        <is>
          <t>全キャラ共通：健全・上品に。実在店名・ロゴを入れない</t>
        </is>
      </c>
    </row>
    <row r="17">
      <c r="A17" s="2" t="n">
        <v>16</v>
      </c>
      <c r="B17" s="3" t="inlineStr">
        <is>
          <t>獅子舞</t>
        </is>
      </c>
      <c r="C17" s="3" t="inlineStr">
        <is>
          <t>祭り</t>
        </is>
      </c>
      <c r="D17" s="3" t="inlineStr">
        <is>
          <t>正月にやってくる縁起物。噛まれると福が来る</t>
        </is>
      </c>
      <c r="E17" s="3" t="inlineStr">
        <is>
          <t>朱の獅子頭、藍と白の唐草模様の胴</t>
        </is>
      </c>
      <c r="F17" s="3" t="inlineStr">
        <is>
          <t>鈴、御幣</t>
        </is>
      </c>
      <c r="G17" s="3" t="inlineStr">
        <is>
          <t>正月の門前、松飾り</t>
        </is>
      </c>
      <c r="H17" s="3" t="inlineStr">
        <is>
          <t>獅子頭がパクパク、首を左右に振る</t>
        </is>
      </c>
      <c r="I17" s="3" t="inlineStr">
        <is>
          <t>Japanese groove / jazz-funk</t>
        </is>
      </c>
      <c r="J17" s="3" t="inlineStr">
        <is>
          <t>96–102</t>
        </is>
      </c>
      <c r="K17" s="3" t="inlineStr">
        <is>
          <t>篠笛、鉦、締太鼓、エレピ</t>
        </is>
      </c>
      <c r="L17" s="3" t="inlineStr">
        <is>
          <t>正月・朝</t>
        </is>
      </c>
      <c r="M17" s="11" t="inlineStr">
        <is>
          <t>festive Japanese jazz-funk groove, shinobue flute, kane bells, shime-daiko, electric piano, lucky new year mood, 100 bpm, instrumental, no vocals</t>
        </is>
      </c>
      <c r="N17"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cute shishimai lion dancer with a vermilion lion head and indigo arabesque body cloth, snapping its jaws playfully in front of a gate with new year pine decorations.</t>
        </is>
      </c>
      <c r="O17" s="3" t="inlineStr">
        <is>
          <t>獅子のパクパク／松飾り／「福」</t>
        </is>
      </c>
      <c r="P17" s="3" t="inlineStr">
        <is>
          <t>Shishimai New Year Groove – Japanese Jazz Funk</t>
        </is>
      </c>
      <c r="Q17" s="3" t="inlineStr">
        <is>
          <t>全キャラ共通：健全・上品に。正月（12月末〜1月）公開推奨</t>
        </is>
      </c>
    </row>
    <row r="18">
      <c r="A18" s="2" t="n">
        <v>17</v>
      </c>
      <c r="B18" s="3" t="inlineStr">
        <is>
          <t>天狗</t>
        </is>
      </c>
      <c r="C18" s="3" t="inlineStr">
        <is>
          <t>妖怪</t>
        </is>
      </c>
      <c r="D18" s="3" t="inlineStr">
        <is>
          <t>山の長老。風を操りビートを遠くまで届ける</t>
        </is>
      </c>
      <c r="E18" s="3" t="inlineStr">
        <is>
          <t>藍の山伏装束、からし色の結袈裟、朱の顔</t>
        </is>
      </c>
      <c r="F18" s="3" t="inlineStr">
        <is>
          <t>羽団扇、高下駄</t>
        </is>
      </c>
      <c r="G18" s="3" t="inlineStr">
        <is>
          <t>雲海の山頂、杉の大木</t>
        </is>
      </c>
      <c r="H18" s="3" t="inlineStr">
        <is>
          <t>羽団扇をゆったり扇ぐ、雲が流れる</t>
        </is>
      </c>
      <c r="I18" s="3" t="inlineStr">
        <is>
          <t>Japanese jazzhop / ambient hip hop</t>
        </is>
      </c>
      <c r="J18" s="3" t="inlineStr">
        <is>
          <t>80–85</t>
        </is>
      </c>
      <c r="K18" s="3" t="inlineStr">
        <is>
          <t>尺八、法螺貝（控えめ）、琴、パッド</t>
        </is>
      </c>
      <c r="L18" s="3" t="inlineStr">
        <is>
          <t>朝・瞑想</t>
        </is>
      </c>
      <c r="M18" s="11" t="inlineStr">
        <is>
          <t>airy Japanese ambient hip hop, breathy shakuhachi, soft koto, mountain wind textures, laid-back drums, 82 bpm, instrumental, no vocals</t>
        </is>
      </c>
      <c r="N18"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wise tengu with a red face and long nose in indigo yamabushi robes, fanning a feather fan on a mountain peak above a sea of clouds with giant cedar trees.</t>
        </is>
      </c>
      <c r="O18" s="3" t="inlineStr">
        <is>
          <t>天狗と雲海／羽団扇／「山の朝」</t>
        </is>
      </c>
      <c r="P18" s="3" t="inlineStr">
        <is>
          <t>Tengu Mountain – Airy Japanese Jazzhop</t>
        </is>
      </c>
      <c r="Q18" s="3" t="inlineStr">
        <is>
          <t>全キャラ共通：健全・上品に。鼻の形は誇張しすぎず可愛く</t>
        </is>
      </c>
    </row>
    <row r="19">
      <c r="A19" s="2" t="n">
        <v>18</v>
      </c>
      <c r="B19" s="3" t="inlineStr">
        <is>
          <t>狐の嫁入り</t>
        </is>
      </c>
      <c r="C19" s="3" t="inlineStr">
        <is>
          <t>妖怪</t>
        </is>
      </c>
      <c r="D19" s="3" t="inlineStr">
        <is>
          <t>晴れた日に雨が降ると現れる、狐たちの静かな行列</t>
        </is>
      </c>
      <c r="E19" s="3" t="inlineStr">
        <is>
          <t>白無垢風の白と藍、朱の和傘、狐面</t>
        </is>
      </c>
      <c r="F19" s="3" t="inlineStr">
        <is>
          <t>和傘、提灯</t>
        </is>
      </c>
      <c r="G19" s="3" t="inlineStr">
        <is>
          <t>天気雨の田んぼのあぜ道</t>
        </is>
      </c>
      <c r="H19" s="3" t="inlineStr">
        <is>
          <t>行列がゆっくり進む（その場歩き）、雨粒がきらめく</t>
        </is>
      </c>
      <c r="I19" s="3" t="inlineStr">
        <is>
          <t>Japanese jazzhop</t>
        </is>
      </c>
      <c r="J19" s="3" t="inlineStr">
        <is>
          <t>74–80</t>
        </is>
      </c>
      <c r="K19" s="3" t="inlineStr">
        <is>
          <t>琴、篠笛、ローズピアノ、雨音</t>
        </is>
      </c>
      <c r="L19" s="3" t="inlineStr">
        <is>
          <t>雨の日・夕方</t>
        </is>
      </c>
      <c r="M19" s="11" t="inlineStr">
        <is>
          <t>dreamy Japanese jazzhop, koto, shinobue, soft rhodes, sun shower rain sounds, mysterious yet gentle, 76 bpm, instrumental, no vocals</t>
        </is>
      </c>
      <c r="N19"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quiet procession of chibi foxes in white and indigo kimono holding vermilion umbrellas and lanterns, walking along a rice field path during a sunny rain shower.</t>
        </is>
      </c>
      <c r="O19" s="3" t="inlineStr">
        <is>
          <t>狐の行列／和傘／天気雨</t>
        </is>
      </c>
      <c r="P19" s="3" t="inlineStr">
        <is>
          <t>Kitsune Wedding – Sun Shower Japanese Jazzhop</t>
        </is>
      </c>
      <c r="Q19" s="3" t="inlineStr">
        <is>
          <t>全キャラ共通：健全・上品に。怖い雰囲気にしない</t>
        </is>
      </c>
    </row>
    <row r="20">
      <c r="A20" s="2" t="n">
        <v>19</v>
      </c>
      <c r="B20" s="3" t="inlineStr">
        <is>
          <t>陰陽師</t>
        </is>
      </c>
      <c r="C20" s="3" t="inlineStr">
        <is>
          <t>平安</t>
        </is>
      </c>
      <c r="D20" s="3" t="inlineStr">
        <is>
          <t>星を読み、ビートの吉凶を占う知的なクール系</t>
        </is>
      </c>
      <c r="E20" s="3" t="inlineStr">
        <is>
          <t>白の狩衣、藍の指貫、朱の紐</t>
        </is>
      </c>
      <c r="F20" s="3" t="inlineStr">
        <is>
          <t>呪符（文字なし）、扇</t>
        </is>
      </c>
      <c r="G20" s="3" t="inlineStr">
        <is>
          <t>星空の下の庭、五芒星の光る陣（控えめ）</t>
        </is>
      </c>
      <c r="H20" s="3" t="inlineStr">
        <is>
          <t>指先に灯る小さな光がふわふわ浮遊、袖が揺れる</t>
        </is>
      </c>
      <c r="I20" s="3" t="inlineStr">
        <is>
          <t>Japanese lo-fi / dark jazzhop</t>
        </is>
      </c>
      <c r="J20" s="3" t="inlineStr">
        <is>
          <t>80–85</t>
        </is>
      </c>
      <c r="K20" s="3" t="inlineStr">
        <is>
          <t>琴、龍笛、シンセパッド、ベース</t>
        </is>
      </c>
      <c r="L20" s="3" t="inlineStr">
        <is>
          <t>夜・考え事</t>
        </is>
      </c>
      <c r="M20" s="11" t="inlineStr">
        <is>
          <t>mystical Japanese lo-fi jazzhop, koto, ryuteki flute, deep pads, soft boom bap drums, starry night mood, 83 bpm, instrumental, no vocals</t>
        </is>
      </c>
      <c r="N20"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cool onmyoji in a white kariginu and indigo trousers with a small floating light at his fingertips in a moonlit garden under a starry sky.</t>
        </is>
      </c>
      <c r="O20" s="3" t="inlineStr">
        <is>
          <t>陰陽師の横顔／星空／光</t>
        </is>
      </c>
      <c r="P20" s="3" t="inlineStr">
        <is>
          <t>Onmyoji Starlight – Mystic Japanese Lo-fi</t>
        </is>
      </c>
      <c r="Q20" s="3" t="inlineStr">
        <is>
          <t>全キャラ共通：健全・上品に。実在の神社・家紋や読める文字を札に入れない</t>
        </is>
      </c>
    </row>
    <row r="21">
      <c r="A21" s="2" t="n">
        <v>20</v>
      </c>
      <c r="B21" s="3" t="inlineStr">
        <is>
          <t>巫女</t>
        </is>
      </c>
      <c r="C21" s="3" t="inlineStr">
        <is>
          <t>宗教</t>
        </is>
      </c>
      <c r="D21" s="3" t="inlineStr">
        <is>
          <t>神社の掃除が日課。鈴の音で季節を感じる</t>
        </is>
      </c>
      <c r="E21" s="3" t="inlineStr">
        <is>
          <t>白衣に朱の袴、からし色の水引</t>
        </is>
      </c>
      <c r="F21" s="3" t="inlineStr">
        <is>
          <t>神楽鈴、竹ぼうき</t>
        </is>
      </c>
      <c r="G21" s="3" t="inlineStr">
        <is>
          <t>朝の神社境内、鳥居、紅葉</t>
        </is>
      </c>
      <c r="H21" s="3" t="inlineStr">
        <is>
          <t>ほうきで掃く、落ち葉が舞う</t>
        </is>
      </c>
      <c r="I21" s="3" t="inlineStr">
        <is>
          <t>Japanese jazzhop</t>
        </is>
      </c>
      <c r="J21" s="3" t="inlineStr">
        <is>
          <t>78–84</t>
        </is>
      </c>
      <c r="K21" s="3" t="inlineStr">
        <is>
          <t>神楽鈴、琴、篠笛、エレピ</t>
        </is>
      </c>
      <c r="L21" s="3" t="inlineStr">
        <is>
          <t>朝・作業</t>
        </is>
      </c>
      <c r="M21" s="11" t="inlineStr">
        <is>
          <t>serene Japanese jazzhop, kagura bells, koto, shinobue, soft electric piano, crisp autumn morning, 80 bpm, instrumental, no vocals</t>
        </is>
      </c>
      <c r="N21"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shrine maiden in white kimono and vermilion hakama sweeping fallen maple leaves with a bamboo broom in a quiet shrine courtyard in the morning, torii gate behind.</t>
        </is>
      </c>
      <c r="O21" s="3" t="inlineStr">
        <is>
          <t>掃除する巫女／鳥居／紅葉</t>
        </is>
      </c>
      <c r="P21" s="3" t="inlineStr">
        <is>
          <t>Shrine Morning – Japanese Jazzhop for Autumn</t>
        </is>
      </c>
      <c r="Q21" s="3" t="inlineStr">
        <is>
          <t>全キャラ共通：健全・上品に。実在の神社を特定させない。上品に</t>
        </is>
      </c>
    </row>
    <row r="22">
      <c r="A22" s="2" t="n">
        <v>21</v>
      </c>
      <c r="B22" s="3" t="inlineStr">
        <is>
          <t>稚児</t>
        </is>
      </c>
      <c r="C22" s="3" t="inlineStr">
        <is>
          <t>平安</t>
        </is>
      </c>
      <c r="D22" s="3" t="inlineStr">
        <is>
          <t>祭りで役を任された小さな子。緊張しつつも楽しげ</t>
        </is>
      </c>
      <c r="E22" s="3" t="inlineStr">
        <is>
          <t>朱と金茶の稚児装束、天冠</t>
        </is>
      </c>
      <c r="F22" s="3" t="inlineStr">
        <is>
          <t>鈴、扇</t>
        </is>
      </c>
      <c r="G22" s="3" t="inlineStr">
        <is>
          <t>祭りの山車の上</t>
        </is>
      </c>
      <c r="H22" s="3" t="inlineStr">
        <is>
          <t>鈴を小さく振る、天冠の飾りが揺れる</t>
        </is>
      </c>
      <c r="I22" s="3" t="inlineStr">
        <is>
          <t>Japanese groove / jazzhop</t>
        </is>
      </c>
      <c r="J22" s="3" t="inlineStr">
        <is>
          <t>88–92</t>
        </is>
      </c>
      <c r="K22" s="3" t="inlineStr">
        <is>
          <t>鈴、篠笛、鼓、ベース</t>
        </is>
      </c>
      <c r="L22" s="3" t="inlineStr">
        <is>
          <t>朝・お出かけ</t>
        </is>
      </c>
      <c r="M22" s="11" t="inlineStr">
        <is>
          <t>gentle festive Japanese jazzhop, small bells, shinobue, tsuzumi, warm bass, innocent cheerful mood, 90 bpm, instrumental, no vocals</t>
        </is>
      </c>
      <c r="N22"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small festival child in a vermilion and gold ceremonial costume with a tiny crown, shaking a bell shyly on top of a festival float.</t>
        </is>
      </c>
      <c r="O22" s="3" t="inlineStr">
        <is>
          <t>稚児の笑顔／山車／鈴</t>
        </is>
      </c>
      <c r="P22" s="3" t="inlineStr">
        <is>
          <t>Festival Child – Gentle Japanese Groove</t>
        </is>
      </c>
      <c r="Q22" s="3" t="inlineStr">
        <is>
          <t>全キャラ共通：健全・上品に。子どもは健全・自然な表情で。化粧の強調なし</t>
        </is>
      </c>
    </row>
    <row r="23">
      <c r="A23" s="2" t="n">
        <v>22</v>
      </c>
      <c r="B23" s="3" t="inlineStr">
        <is>
          <t>平安貴族（蹴鞠）</t>
        </is>
      </c>
      <c r="C23" s="3" t="inlineStr">
        <is>
          <t>平安</t>
        </is>
      </c>
      <c r="D23" s="3" t="inlineStr">
        <is>
          <t>優雅にまったり。鞠を落とさないことに命をかける</t>
        </is>
      </c>
      <c r="E23" s="3" t="inlineStr">
        <is>
          <t>藍の直衣、抹茶色の指貫、烏帽子</t>
        </is>
      </c>
      <c r="F23" s="3" t="inlineStr">
        <is>
          <t>鞠</t>
        </is>
      </c>
      <c r="G23" s="3" t="inlineStr">
        <is>
          <t>春の庭園、藤棚</t>
        </is>
      </c>
      <c r="H23" s="3" t="inlineStr">
        <is>
          <t>鞠をポン、ポンと蹴り上げる（ループ）</t>
        </is>
      </c>
      <c r="I23" s="3" t="inlineStr">
        <is>
          <t>Japanese jazzhop / bossa-hop</t>
        </is>
      </c>
      <c r="J23" s="3" t="inlineStr">
        <is>
          <t>84–90</t>
        </is>
      </c>
      <c r="K23" s="3" t="inlineStr">
        <is>
          <t>琴、笙、ナイロンギター、ローズ</t>
        </is>
      </c>
      <c r="L23" s="3" t="inlineStr">
        <is>
          <t>昼・リラックス</t>
        </is>
      </c>
      <c r="M23" s="11" t="inlineStr">
        <is>
          <t>elegant Japanese bossa jazzhop, koto, sho mouth organ pads, nylon guitar, rhodes, light swing drums, graceful spring garden, 86 bpm, instrumental, no vocals</t>
        </is>
      </c>
      <c r="N23"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Heian noble in an indigo nōshi robe and black eboshi hat gracefully kicking a kemari ball in a spring garden under wisteria.</t>
        </is>
      </c>
      <c r="O23" s="3" t="inlineStr">
        <is>
          <t>蹴鞠の貴族／藤棚／「雅」</t>
        </is>
      </c>
      <c r="P23" s="3" t="inlineStr">
        <is>
          <t>Heian Kemari – Elegant Japanese Bossa Beats</t>
        </is>
      </c>
      <c r="Q23" s="3" t="inlineStr">
        <is>
          <t>全キャラ共通：健全・上品に。</t>
        </is>
      </c>
    </row>
    <row r="24">
      <c r="A24" s="2" t="n">
        <v>23</v>
      </c>
      <c r="B24" s="3" t="inlineStr">
        <is>
          <t>歌舞伎役者</t>
        </is>
      </c>
      <c r="C24" s="3" t="inlineStr">
        <is>
          <t>夜</t>
        </is>
      </c>
      <c r="D24" s="3" t="inlineStr">
        <is>
          <t>見得を切る瞬間がビートのドロップ</t>
        </is>
      </c>
      <c r="E24" s="3" t="inlineStr">
        <is>
          <t>隈取（朱と藍）、からし色の衣装</t>
        </is>
      </c>
      <c r="F24" s="3" t="inlineStr">
        <is>
          <t>扇、拍子木</t>
        </is>
      </c>
      <c r="G24" s="3" t="inlineStr">
        <is>
          <t>芝居小屋の舞台、提灯</t>
        </is>
      </c>
      <c r="H24" s="3" t="inlineStr">
        <is>
          <t>首をぐるりと回して見得を切る、拍子木で「カン」</t>
        </is>
      </c>
      <c r="I24" s="3" t="inlineStr">
        <is>
          <t>Japanese boom bap / groove</t>
        </is>
      </c>
      <c r="J24" s="3" t="inlineStr">
        <is>
          <t>90–96</t>
        </is>
      </c>
      <c r="K24" s="3" t="inlineStr">
        <is>
          <t>拍子木、三味線、鼓、ベース</t>
        </is>
      </c>
      <c r="L24" s="3" t="inlineStr">
        <is>
          <t>気合い・作業</t>
        </is>
      </c>
      <c r="M24" s="11" t="inlineStr">
        <is>
          <t>dramatic yet groovy Japanese boom bap, hyoshigi clappers, shamisen riffs, tsuzumi, punchy drums, theatrical energy, 93 bpm, instrumental, no vocals</t>
        </is>
      </c>
      <c r="N24"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kabuki actor with vermilion and indigo kumadori makeup in a mustard costume striking a mie pose on a wooden theater stage lined with lanterns.</t>
        </is>
      </c>
      <c r="O24" s="3" t="inlineStr">
        <is>
          <t>見得を切る顔／隈取／提灯</t>
        </is>
      </c>
      <c r="P24" s="3" t="inlineStr">
        <is>
          <t>Kabuki Breaks – Theatrical Japanese Boom Bap</t>
        </is>
      </c>
      <c r="Q24" s="3" t="inlineStr">
        <is>
          <t>全キャラ共通：健全・上品に。実在の屋号・役者の顔を模さない</t>
        </is>
      </c>
    </row>
    <row r="25">
      <c r="A25" s="2" t="n">
        <v>24</v>
      </c>
      <c r="B25" s="3" t="inlineStr">
        <is>
          <t>僧兵</t>
        </is>
      </c>
      <c r="C25" s="3" t="inlineStr">
        <is>
          <t>宗教</t>
        </is>
      </c>
      <c r="D25" s="3" t="inlineStr">
        <is>
          <t>力持ちで大らか。薙刀より太鼓のほうが得意</t>
        </is>
      </c>
      <c r="E25" s="3" t="inlineStr">
        <is>
          <t>白い頭巾、墨染め衣、からし色の袈裟</t>
        </is>
      </c>
      <c r="F25" s="3" t="inlineStr">
        <is>
          <t>薙刀（布で覆う）、法螺貝</t>
        </is>
      </c>
      <c r="G25" s="3" t="inlineStr">
        <is>
          <t>山門の前、石段</t>
        </is>
      </c>
      <c r="H25" s="3" t="inlineStr">
        <is>
          <t>法螺貝を吹くふり→ゆっくり首を揺らす</t>
        </is>
      </c>
      <c r="I25" s="3" t="inlineStr">
        <is>
          <t>Japanese boom bap</t>
        </is>
      </c>
      <c r="J25" s="3" t="inlineStr">
        <is>
          <t>86–90</t>
        </is>
      </c>
      <c r="K25" s="3" t="inlineStr">
        <is>
          <t>法螺貝（控えめ）、和太鼓、尺八、ベース</t>
        </is>
      </c>
      <c r="L25" s="3" t="inlineStr">
        <is>
          <t>集中・筋トレ</t>
        </is>
      </c>
      <c r="M25" s="11" t="inlineStr">
        <is>
          <t>powerful Japanese boom bap, deep taiko, subtle conch horn texture, shakuhachi, heavy bass, steady disciplined groove, 88 bpm, instrumental, no vocals</t>
        </is>
      </c>
      <c r="N25"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big friendly warrior monk with a white hood and black robe holding a conch shell, standing in front of a temple gate on stone steps.</t>
        </is>
      </c>
      <c r="O25" s="3" t="inlineStr">
        <is>
          <t>僧兵の仁王立ち／山門／「不動」</t>
        </is>
      </c>
      <c r="P25" s="3" t="inlineStr">
        <is>
          <t>Sohei Beats – Steady Japanese Boom Bap</t>
        </is>
      </c>
      <c r="Q25" s="3" t="inlineStr">
        <is>
          <t>全キャラ共通：健全・上品に。武器は布で覆う・戦闘描写なし</t>
        </is>
      </c>
    </row>
    <row r="26">
      <c r="A26" s="2" t="n">
        <v>25</v>
      </c>
      <c r="B26" s="3" t="inlineStr">
        <is>
          <t>河童（追加）</t>
        </is>
      </c>
      <c r="C26" s="3" t="inlineStr">
        <is>
          <t>妖怪</t>
        </is>
      </c>
      <c r="D26" s="3" t="inlineStr">
        <is>
          <t>川辺でウッドベースを弾くのんびり屋。きゅうりが好物</t>
        </is>
      </c>
      <c r="E26" s="3" t="inlineStr">
        <is>
          <t>抹茶色の肌、藍の腹掛け</t>
        </is>
      </c>
      <c r="F26" s="3" t="inlineStr">
        <is>
          <t>ウッドベース、きゅうり</t>
        </is>
      </c>
      <c r="G26" s="3" t="inlineStr">
        <is>
          <t>夏の川辺、柳の木</t>
        </is>
      </c>
      <c r="H26" s="3" t="inlineStr">
        <is>
          <t>ベースの弦をはじく、皿の水がきらりと光る、川面が揺れる</t>
        </is>
      </c>
      <c r="I26" s="3" t="inlineStr">
        <is>
          <t>Japanese jazzhop</t>
        </is>
      </c>
      <c r="J26" s="3" t="inlineStr">
        <is>
          <t>80–86</t>
        </is>
      </c>
      <c r="K26" s="3" t="inlineStr">
        <is>
          <t>ウッドベース、琴、エレピ、水音</t>
        </is>
      </c>
      <c r="L26" s="3" t="inlineStr">
        <is>
          <t>昼・リラックス</t>
        </is>
      </c>
      <c r="M26" s="11" t="inlineStr">
        <is>
          <t>laid-back Japanese jazzhop, upright bass lead, koto, electric piano, river water ambience, summer shade mood, 84 bpm, instrumental, no vocals</t>
        </is>
      </c>
      <c r="N26"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cute kappa with matcha green skin and an indigo bib plucking an upright bass on a riverbank under a willow tree, cucumber beside him.</t>
        </is>
      </c>
      <c r="O26" s="3" t="inlineStr">
        <is>
          <t>ベースを弾く河童／柳／川</t>
        </is>
      </c>
      <c r="P26" s="3" t="inlineStr">
        <is>
          <t>Kappa Riverside Jazz – Japanese Jazzhop</t>
        </is>
      </c>
      <c r="Q26" s="3" t="inlineStr">
        <is>
          <t>全キャラ共通：健全・上品に。追加案</t>
        </is>
      </c>
    </row>
    <row r="27">
      <c r="A27" s="2" t="n">
        <v>26</v>
      </c>
      <c r="B27" s="3" t="inlineStr">
        <is>
          <t>招き猫（追加）</t>
        </is>
      </c>
      <c r="C27" s="3" t="inlineStr">
        <is>
          <t>夜</t>
        </is>
      </c>
      <c r="D27" s="3" t="inlineStr">
        <is>
          <t>商店街の看板猫。手招きのリズムでお客を呼ぶ</t>
        </is>
      </c>
      <c r="E27" s="3" t="inlineStr">
        <is>
          <t>白に朱の首輪、からし色の鈴、藍の前掛け</t>
        </is>
      </c>
      <c r="F27" s="3" t="inlineStr">
        <is>
          <t>小判（文字なし）、鈴</t>
        </is>
      </c>
      <c r="G27" s="3" t="inlineStr">
        <is>
          <t>夕方の商店街の店先</t>
        </is>
      </c>
      <c r="H27" s="3" t="inlineStr">
        <is>
          <t>前足で手招き、鈴が揺れる</t>
        </is>
      </c>
      <c r="I27" s="3" t="inlineStr">
        <is>
          <t>Japanese groove / city-pop hop</t>
        </is>
      </c>
      <c r="J27" s="3" t="inlineStr">
        <is>
          <t>92–98</t>
        </is>
      </c>
      <c r="K27" s="3" t="inlineStr">
        <is>
          <t>エレピ、ベース、鈴、三味線</t>
        </is>
      </c>
      <c r="L27" s="3" t="inlineStr">
        <is>
          <t>夕方・買い物気分</t>
        </is>
      </c>
      <c r="M27" s="11" t="inlineStr">
        <is>
          <t>warm Japanese city groove, electric piano, funky bass, little bells, shamisen accents, nostalgic shopping street at dusk, 95 bpm, instrumental, no vocals</t>
        </is>
      </c>
      <c r="N27"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maneki-neko lucky cat with a vermilion collar and mustard bell beckoning with its paw in front of a small shop on a nostalgic shopping street at dusk.</t>
        </is>
      </c>
      <c r="O27" s="3" t="inlineStr">
        <is>
          <t>手招き猫／商店街／夕焼け</t>
        </is>
      </c>
      <c r="P27" s="3" t="inlineStr">
        <is>
          <t>Maneki Neko Groove – Nostalgic Japanese Beats</t>
        </is>
      </c>
      <c r="Q27" s="3" t="inlineStr">
        <is>
          <t>全キャラ共通：健全・上品に。追加案。小判に文字を入れない</t>
        </is>
      </c>
    </row>
    <row r="28">
      <c r="A28" s="2" t="n">
        <v>27</v>
      </c>
      <c r="B28" s="3" t="inlineStr">
        <is>
          <t>琵琶法師（追加）</t>
        </is>
      </c>
      <c r="C28" s="3" t="inlineStr">
        <is>
          <t>宗教</t>
        </is>
      </c>
      <c r="D28" s="3" t="inlineStr">
        <is>
          <t>旅の語り部。歌わず琵琶だけで物語を奏でる</t>
        </is>
      </c>
      <c r="E28" s="3" t="inlineStr">
        <is>
          <t>墨染め衣、からし色の頭巾</t>
        </is>
      </c>
      <c r="F28" s="3" t="inlineStr">
        <is>
          <t>琵琶、杖</t>
        </is>
      </c>
      <c r="G28" s="3" t="inlineStr">
        <is>
          <t>秋の山道の茶屋</t>
        </is>
      </c>
      <c r="H28" s="3" t="inlineStr">
        <is>
          <t>琵琶をかき鳴らす、落ち葉がひらり</t>
        </is>
      </c>
      <c r="I28" s="3" t="inlineStr">
        <is>
          <t>Japanese boom bap / jazzhop</t>
        </is>
      </c>
      <c r="J28" s="3" t="inlineStr">
        <is>
          <t>80–86</t>
        </is>
      </c>
      <c r="K28" s="3" t="inlineStr">
        <is>
          <t>琵琶、尺八、ベース</t>
        </is>
      </c>
      <c r="L28" s="3" t="inlineStr">
        <is>
          <t>夜・読書</t>
        </is>
      </c>
      <c r="M28" s="11" t="inlineStr">
        <is>
          <t>moody Japanese jazzhop boom bap, biwa lute riffs, shakuhachi, warm bass, dusty drums, storytelling autumn mood, 82 bpm, instrumental, no vocals</t>
        </is>
      </c>
      <c r="N28" s="12"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 A traveling biwa player monk in dark robes and mustard hood strumming a biwa at a mountain teahouse in autumn, falling leaves.</t>
        </is>
      </c>
      <c r="O28" s="3" t="inlineStr">
        <is>
          <t>琵琶の音／秋の茶屋／落ち葉</t>
        </is>
      </c>
      <c r="P28" s="3" t="inlineStr">
        <is>
          <t>Biwa Tales – Japanese Boom Bap for Reading</t>
        </is>
      </c>
      <c r="Q28" s="3" t="inlineStr">
        <is>
          <t>全キャラ共通：健全・上品に。追加案。盲目表現は扱いに配慮し強調しない</t>
        </is>
      </c>
    </row>
  </sheetData>
  <autoFilter ref="A1:Q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24" customWidth="1" min="1" max="1"/>
    <col width="36" customWidth="1" min="2" max="2"/>
    <col width="100" customWidth="1" min="3" max="3"/>
  </cols>
  <sheetData>
    <row r="1">
      <c r="A1" s="1" t="inlineStr">
        <is>
          <t>区分</t>
        </is>
      </c>
      <c r="B1" s="1" t="inlineStr">
        <is>
          <t>項目</t>
        </is>
      </c>
      <c r="C1" s="1" t="inlineStr">
        <is>
          <t>内容</t>
        </is>
      </c>
    </row>
    <row r="2">
      <c r="A2" s="3" t="inlineStr">
        <is>
          <t>共通スタイル文</t>
        </is>
      </c>
      <c r="B2" s="3" t="inlineStr">
        <is>
          <t>画像プロンプト先頭に付ける文（英語）</t>
        </is>
      </c>
      <c r="C2" s="3" t="inlineStr">
        <is>
          <t>Chibi character with 2 to 2.5 head-tall proportions, thick bold outlines, slightly retro 1980s-90s Japanese anime style, flat cel shading with soft film grain, muted traditional Japanese color palette of indigo, vermilion, mustard yellow and matcha green on a warm washi-paper toned background, cozy and wholesome mood, simple readable shapes, single still illustration in 16:9, no text, no logo.</t>
        </is>
      </c>
    </row>
    <row r="3">
      <c r="A3" s="3" t="inlineStr">
        <is>
          <t>共通スタイル文</t>
        </is>
      </c>
      <c r="B3" s="3" t="inlineStr">
        <is>
          <t>ネガティブ指定（必要に応じて末尾に）</t>
        </is>
      </c>
      <c r="C3" s="3" t="inlineStr">
        <is>
          <t>Avoid: realistic style, 3D render, thin lines, neon colors, sexy or revealing outfits, blood, weapons drawn, text, watermark.</t>
        </is>
      </c>
    </row>
    <row r="4">
      <c r="A4" s="3" t="inlineStr">
        <is>
          <t>絵柄をそろえるコツ</t>
        </is>
      </c>
      <c r="B4" s="3" t="inlineStr">
        <is>
          <t>1. 設定画を先に作る</t>
        </is>
      </c>
      <c r="C4" s="3" t="inlineStr">
        <is>
          <t>各キャラの正面・横・後ろの三面図（白背景）を最初に1枚作り、以後はその画像を毎回添付して「this character」と指定する。</t>
        </is>
      </c>
    </row>
    <row r="5">
      <c r="A5" s="3" t="inlineStr">
        <is>
          <t>絵柄をそろえるコツ</t>
        </is>
      </c>
      <c r="B5" s="3" t="inlineStr">
        <is>
          <t>2. 見本画像を渡す</t>
        </is>
      </c>
      <c r="C5" s="3" t="inlineStr">
        <is>
          <t>気に入った1枚を「スタイル見本」として毎回添付し、“Match the art style of the attached image exactly” と添える。</t>
        </is>
      </c>
    </row>
    <row r="6">
      <c r="A6" s="3" t="inlineStr">
        <is>
          <t>絵柄をそろえるコツ</t>
        </is>
      </c>
      <c r="B6" s="3" t="inlineStr">
        <is>
          <t>3. 共通スタイル文を変えない</t>
        </is>
      </c>
      <c r="C6" s="3" t="inlineStr">
        <is>
          <t>スタイル文は一字一句コピペで固定。変えるのはキャラ説明とシーン部分だけにする。</t>
        </is>
      </c>
    </row>
    <row r="7">
      <c r="A7" s="3" t="inlineStr">
        <is>
          <t>絵柄をそろえるコツ</t>
        </is>
      </c>
      <c r="B7" s="3" t="inlineStr">
        <is>
          <t>4. 配色を固定する</t>
        </is>
      </c>
      <c r="C7" s="3" t="inlineStr">
        <is>
          <t>藍・朱・からし色・抹茶色の4色＋生成り背景を基本に。キャラごとの主色を決めておく（例：隊長＝藍、鬼＝朱）。</t>
        </is>
      </c>
    </row>
    <row r="8">
      <c r="A8" s="3" t="inlineStr">
        <is>
          <t>絵柄をそろえるコツ</t>
        </is>
      </c>
      <c r="B8" s="3" t="inlineStr">
        <is>
          <t>5. 同じ会話で続けて作る</t>
        </is>
      </c>
      <c r="C8" s="3" t="inlineStr">
        <is>
          <t>ChatGPTでは同一チャット内で続けて生成すると絵柄がぶれにくい。崩れたら新しいチャットで見本画像から再スタート。</t>
        </is>
      </c>
    </row>
    <row r="9">
      <c r="A9" s="3" t="inlineStr">
        <is>
          <t>絵柄をそろえるコツ</t>
        </is>
      </c>
      <c r="B9" s="3" t="inlineStr">
        <is>
          <t>6. ループしやすい構図</t>
        </is>
      </c>
      <c r="C9" s="3" t="inlineStr">
        <is>
          <t>動かす部分（頭・湯気・提灯・裾）を背景と重ならない位置に置き、余白を確保。動かす部品は別レイヤーで書き出すと編集が楽。</t>
        </is>
      </c>
    </row>
    <row r="10">
      <c r="A10" s="3" t="inlineStr">
        <is>
          <t>絵柄をそろえるコツ</t>
        </is>
      </c>
      <c r="B10" s="3" t="inlineStr">
        <is>
          <t>7. 16:9で生成しサムネも流用</t>
        </is>
      </c>
      <c r="C10" s="3" t="inlineStr">
        <is>
          <t>本編用16:9で作り、サムネはキャラ部分を拡大トリミング＋文字入れで作るとシリーズ感が出る。</t>
        </is>
      </c>
    </row>
    <row r="11">
      <c r="A11" s="3" t="inlineStr">
        <is>
          <t>Suno共通タグ</t>
        </is>
      </c>
      <c r="B11" s="3" t="inlineStr">
        <is>
          <t>推奨タグ（ベース）</t>
        </is>
      </c>
      <c r="C11" s="3" t="inlineStr">
        <is>
          <t>instrumental, no vocals, Japanese jazzhop, lo-fi hip hop, boom bap, dusty drums, vinyl crackle, warm bass, mellow, laid-back, head-nod groove</t>
        </is>
      </c>
    </row>
    <row r="12">
      <c r="A12" s="3" t="inlineStr">
        <is>
          <t>Suno共通タグ</t>
        </is>
      </c>
      <c r="B12" s="3" t="inlineStr">
        <is>
          <t>推奨タグ（和楽器）</t>
        </is>
      </c>
      <c r="C12" s="3" t="inlineStr">
        <is>
          <t>shamisen, koto, shakuhachi, shinobue, taiko, shime-daiko, tsuzumi, biwa, kagura bells, mokugyo</t>
        </is>
      </c>
    </row>
    <row r="13">
      <c r="A13" s="3" t="inlineStr">
        <is>
          <t>Suno共通タグ</t>
        </is>
      </c>
      <c r="B13" s="3" t="inlineStr">
        <is>
          <t>推奨タグ（質感・場面）</t>
        </is>
      </c>
      <c r="C13" s="3" t="inlineStr">
        <is>
          <t>tape hiss, rain ambience, night, cozy, study, focus, chill, swing, jazzy chords, rhodes, upright bass</t>
        </is>
      </c>
    </row>
    <row r="14">
      <c r="A14" s="3" t="inlineStr">
        <is>
          <t>Suno共通タグ</t>
        </is>
      </c>
      <c r="B14" s="3" t="inlineStr">
        <is>
          <t>避けるタグ（壮大系）</t>
        </is>
      </c>
      <c r="C14" s="3" t="inlineStr">
        <is>
          <t>epic, cinematic, orchestral, trailer, dramatic build, anthem, heroic, choir, EDM drop, dubstep</t>
        </is>
      </c>
    </row>
    <row r="15">
      <c r="A15" s="3" t="inlineStr">
        <is>
          <t>Suno共通タグ</t>
        </is>
      </c>
      <c r="B15" s="3" t="inlineStr">
        <is>
          <t>避けるタグ（歌入り誘発）</t>
        </is>
      </c>
      <c r="C15" s="3" t="inlineStr">
        <is>
          <t>vocals, rap, singer, chant, lyrics, female voice, male voice（※歌詞欄は空欄または [Instrumental] にする）</t>
        </is>
      </c>
    </row>
    <row r="16">
      <c r="A16" s="3" t="inlineStr">
        <is>
          <t>Suno共通タグ</t>
        </is>
      </c>
      <c r="B16" s="3" t="inlineStr">
        <is>
          <t>その他の注意</t>
        </is>
      </c>
      <c r="C16" s="3" t="inlineStr">
        <is>
          <t>アーティスト名・曲名は入れない。BPMは数字で明記（例：88 bpm）。長尺動画は同系統プロンプトで複数曲作りクロスフェードでつなぐ。</t>
        </is>
      </c>
    </row>
    <row r="17">
      <c r="A17" s="3" t="inlineStr">
        <is>
          <t>Suno共通タグ（歌入り版）</t>
        </is>
      </c>
      <c r="B17" s="3" t="inlineStr">
        <is>
          <t>推奨タグ（歌詞シート用）</t>
        </is>
      </c>
      <c r="C17" s="3" t="inlineStr">
        <is>
          <t>Japanese jazzy hip hop, upbeat groove, 95–105 BPM, punchy boom bap drums, funky bassline, energetic, bright, head nod, Japanese lyrics（祭り系は taiko drums を追加）</t>
        </is>
      </c>
    </row>
    <row r="18">
      <c r="A18" s="3" t="inlineStr">
        <is>
          <t>Suno共通タグ（歌入り版）</t>
        </is>
      </c>
      <c r="B18" s="3" t="inlineStr">
        <is>
          <t>声の指定</t>
        </is>
      </c>
      <c r="C18" s="3" t="inlineStr">
        <is>
          <t>energetic male vocal または bright female vocal</t>
        </is>
      </c>
    </row>
    <row r="19">
      <c r="A19" s="3" t="inlineStr">
        <is>
          <t>Suno共通タグ（歌入り版）</t>
        </is>
      </c>
      <c r="B19" s="3" t="inlineStr">
        <is>
          <t>歌入り版で外すタグ</t>
        </is>
      </c>
      <c r="C19" s="3" t="inlineStr">
        <is>
          <t>laid back, mellow, night, calm（※上の「避けるタグ（歌入り誘発）」はインスト版用）</t>
        </is>
      </c>
    </row>
    <row r="20">
      <c r="A20" s="3" t="inlineStr">
        <is>
          <t>アニメ用の並び絵</t>
        </is>
      </c>
      <c r="B20" s="3" t="inlineStr">
        <is>
          <t>1. 横一列・重ならない</t>
        </is>
      </c>
      <c r="C20" s="3" t="inlineStr">
        <is>
          <t>キャラ同士の間をあけて横一列に。重なっていないと「背景を削除」やCanvaで1人ずつ切り抜いて動かせる。</t>
        </is>
      </c>
    </row>
    <row r="21">
      <c r="A21" s="3" t="inlineStr">
        <is>
          <t>アニメ用の並び絵</t>
        </is>
      </c>
      <c r="B21" s="3" t="inlineStr">
        <is>
          <t>2. 足元の高さをそろえる</t>
        </is>
      </c>
      <c r="C21" s="3" t="inlineStr">
        <is>
          <t>全員の足を同じ高さ（同じ線）に置く。頭の上下やジャンプのループを付けてもズレが目立たない。</t>
        </is>
      </c>
    </row>
    <row r="22">
      <c r="A22" s="3" t="inlineStr">
        <is>
          <t>アニメ用の並び絵</t>
        </is>
      </c>
      <c r="B22" s="3" t="inlineStr">
        <is>
          <t>3. 背景は単色</t>
        </is>
      </c>
      <c r="C22" s="3" t="inlineStr">
        <is>
          <t>背景が1色なら切り抜きがきれいに抜ける。回ごとに背景色だけ変えるとシリーズ感が出る。</t>
        </is>
      </c>
    </row>
    <row r="23">
      <c r="A23" s="3" t="inlineStr">
        <is>
          <t>アニメ用の並び絵</t>
        </is>
      </c>
      <c r="B23" s="3" t="inlineStr">
        <is>
          <t>4. 上の1/3は空ける</t>
        </is>
      </c>
      <c r="C23" s="3" t="inlineStr">
        <is>
          <t>タイトル文字はCanvaで上の空きスペースに後から入れる。</t>
        </is>
      </c>
    </row>
    <row r="24">
      <c r="A24" s="3" t="inlineStr">
        <is>
          <t>アニメ用の並び絵</t>
        </is>
      </c>
      <c r="B24" s="3" t="inlineStr">
        <is>
          <t>5. 簡単な動きの例</t>
        </is>
      </c>
      <c r="C24" s="3" t="inlineStr">
        <is>
          <t>頭を上下にゆらす／体を左右にゆらす／小さくジャンプ／持ち物（太鼓のバチ・うちわ）だけ動かす。1人ずつタイミングをずらすと生き生きする。</t>
        </is>
      </c>
    </row>
  </sheetData>
  <autoFilter ref="A1:C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6" customWidth="1" min="3" max="3"/>
    <col width="16" customWidth="1" min="4" max="4"/>
    <col width="24" customWidth="1" min="5" max="5"/>
    <col width="10" customWidth="1" min="6" max="6"/>
    <col width="46" customWidth="1" min="7" max="7"/>
    <col width="40" customWidth="1" min="8" max="8"/>
    <col width="28" customWidth="1" min="9" max="9"/>
    <col width="90" customWidth="1" min="10" max="10"/>
  </cols>
  <sheetData>
    <row r="1">
      <c r="A1" s="1" t="inlineStr">
        <is>
          <t>企画No</t>
        </is>
      </c>
      <c r="B1" s="1" t="inlineStr">
        <is>
          <t>登場キャラ</t>
        </is>
      </c>
      <c r="C1" s="1" t="inlineStr">
        <is>
          <t>シーン</t>
        </is>
      </c>
      <c r="D1" s="1" t="inlineStr">
        <is>
          <t>時間帯・季節</t>
        </is>
      </c>
      <c r="E1" s="1" t="inlineStr">
        <is>
          <t>音楽ジャンル</t>
        </is>
      </c>
      <c r="F1" s="1" t="inlineStr">
        <is>
          <t>動画の長さ</t>
        </is>
      </c>
      <c r="G1" s="1" t="inlineStr">
        <is>
          <t>【YouTube】動画タイトル（コピペ）</t>
        </is>
      </c>
      <c r="H1" s="1" t="inlineStr">
        <is>
          <t>元ネタ・洒落のポイント</t>
        </is>
      </c>
      <c r="I1" s="1" t="inlineStr">
        <is>
          <t>サムネ案</t>
        </is>
      </c>
      <c r="J1" s="10" t="inlineStr">
        <is>
          <t>【ChatGPT】並び絵プロンプト（サムネ・アニメ共通）</t>
        </is>
      </c>
    </row>
    <row r="2">
      <c r="A2" s="3" t="n">
        <v>1</v>
      </c>
      <c r="B2" s="3" t="inlineStr">
        <is>
          <t>屋根の上の忍者（ヘッドホン）、見習い忍者</t>
        </is>
      </c>
      <c r="C2" s="3" t="inlineStr">
        <is>
          <t>月夜の瓦屋根で師弟がヘッドホンを分け合う</t>
        </is>
      </c>
      <c r="D2" s="3" t="inlineStr">
        <is>
          <t>深夜・通年</t>
        </is>
      </c>
      <c r="E2" s="3" t="inlineStr">
        <is>
          <t>Japanese lo-fi boom bap</t>
        </is>
      </c>
      <c r="F2" s="3" t="inlineStr">
        <is>
          <t>2時間</t>
        </is>
      </c>
      <c r="G2" s="3" t="inlineStr">
        <is>
          <t>忍ぶれど、ビートに出にけり屋根の上｜和風 Jazzy HipHop｜作業・通勤・ドライブBGM</t>
        </is>
      </c>
      <c r="H2" s="3" t="inlineStr">
        <is>
          <t>百人一首・平兼盛「忍ぶれど色に出でにけりわが恋は」のもじり。忍者なのにノリが隠せない</t>
        </is>
      </c>
      <c r="I2" s="3" t="inlineStr">
        <is>
          <t>師弟の後ろ姿／満月／「深夜」</t>
        </is>
      </c>
      <c r="J2"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a ninja in a brown outfit holding a shakuhachi, the small apprentice ninja in matcha green holding a scroll, the rooftop ninja in indigo with a vermilion scarf wearing big headphones, a ninja in vermilion holding a small taiko drum, a ninja in purple holding a vinyl record, a ninja in charcoal gray holding a folding fan. Plain solid mustard yellow background, no scenery, no floor, no cast shadows. Characters in the lower two-thirds of the image, leave the top third empty for title text. 16:9. Cheerful and playful. No text, no letters, no logos, no watermark.</t>
        </is>
      </c>
    </row>
    <row r="3">
      <c r="A3" s="3" t="n">
        <v>2</v>
      </c>
      <c r="B3" s="3" t="inlineStr">
        <is>
          <t>侍集団の隊長、若侍（レコードを抱える）</t>
        </is>
      </c>
      <c r="C3" s="3" t="inlineStr">
        <is>
          <t>城下町の石段で隊長が若侍のレコードを試聴</t>
        </is>
      </c>
      <c r="D3" s="3" t="inlineStr">
        <is>
          <t>夕暮れ・秋</t>
        </is>
      </c>
      <c r="E3" s="3" t="inlineStr">
        <is>
          <t>Japanese boom bap</t>
        </is>
      </c>
      <c r="F3" s="3" t="inlineStr">
        <is>
          <t>1.5時間</t>
        </is>
      </c>
      <c r="G3" s="3" t="inlineStr">
        <is>
          <t>武士は食わねど、高ビート｜和風 Jazzy HipHop｜作業・通勤・ドライブBGM</t>
        </is>
      </c>
      <c r="H3" s="3" t="inlineStr">
        <is>
          <t>ことわざ「武士は食わねど高楊枝」の楊枝をビートに</t>
        </is>
      </c>
      <c r="I3" s="3" t="inlineStr">
        <is>
          <t>隊長と若侍／夕焼けの城／「集中」</t>
        </is>
      </c>
      <c r="J3"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samurai captain in an indigo haori with arms crossed and headphones around his neck, the young samurai hugging a vinyl record, a samurai holding a big rice ball, a samurai holding a small taiko drum, a samurai holding a shakuhachi, a samurai holding a folding fan. Plain solid matcha green background, no scenery, no floor, no cast shadows. Characters in the lower two-thirds of the image, leave the top third empty for title text. 16:9. Cheerful and playful. No text, no letters, no logos, no watermark.</t>
        </is>
      </c>
    </row>
    <row r="4">
      <c r="A4" s="3" t="n">
        <v>3</v>
      </c>
      <c r="B4" s="3" t="inlineStr">
        <is>
          <t>侍の休日（浴衣で縁側）、河童（追加）</t>
        </is>
      </c>
      <c r="C4" s="3" t="inlineStr">
        <is>
          <t>縁側の先の小川で河童がベースを弾く</t>
        </is>
      </c>
      <c r="D4" s="3" t="inlineStr">
        <is>
          <t>昼・夏</t>
        </is>
      </c>
      <c r="E4" s="3" t="inlineStr">
        <is>
          <t>Japanese chillhop</t>
        </is>
      </c>
      <c r="F4" s="3" t="inlineStr">
        <is>
          <t>1時間</t>
        </is>
      </c>
      <c r="G4" s="3" t="inlineStr">
        <is>
          <t>河童の川流れ、本日は侍も流されて｜和風 Jazzy HipHop｜作業・通勤・ドライブBGM</t>
        </is>
      </c>
      <c r="H4" s="3" t="inlineStr">
        <is>
          <t>ことわざ「河童の川流れ」×休日に流されるままの侍</t>
        </is>
      </c>
      <c r="I4" s="3" t="inlineStr">
        <is>
          <t>縁側とスイカ／河童／「夏休み」</t>
        </is>
      </c>
      <c r="J4"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off-duty samurai in a white yukata holding an uchiwa fan, the kappa holding an upright bass, a child holding a slice of watermelon, a girl in a yukata holding a wind chime, a samurai holding a cucumber, a friend wearing big headphones holding a pinwheel. Plain solid soft indigo blue background, no scenery, no floor, no cast shadows. Characters in the lower two-thirds of the image, leave the top third empty for title text. 16:9. Cheerful and playful. No text, no letters, no logos, no watermark.</t>
        </is>
      </c>
    </row>
    <row r="5">
      <c r="A5" s="3" t="n">
        <v>4</v>
      </c>
      <c r="B5" s="3" t="inlineStr">
        <is>
          <t>屋台の大将、浪人DJ</t>
        </is>
      </c>
      <c r="C5" s="3" t="inlineStr">
        <is>
          <t>雨上がりの屋台で浪人がDJ、大将が湯切り</t>
        </is>
      </c>
      <c r="D5" s="3" t="inlineStr">
        <is>
          <t>深夜・梅雨</t>
        </is>
      </c>
      <c r="E5" s="3" t="inlineStr">
        <is>
          <t>Japanese jazzhop</t>
        </is>
      </c>
      <c r="F5" s="3" t="inlineStr">
        <is>
          <t>2時間</t>
        </is>
      </c>
      <c r="G5" s="3" t="inlineStr">
        <is>
          <t>雨降って、ビート固まる深夜屋台｜和風 Jazzy HipHop｜作業・通勤・ドライブBGM</t>
        </is>
      </c>
      <c r="H5" s="3" t="inlineStr">
        <is>
          <t>ことわざ「雨降って地固まる」のもじり。雨上がりの屋台でセッションがまとまる</t>
        </is>
      </c>
      <c r="I5" s="3" t="inlineStr">
        <is>
          <t>赤提灯／湯気／浪人の編笠</t>
        </is>
      </c>
      <c r="J5"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ramen stall master in a white samue holding a noodle strainer, the ronin in a woven straw hat holding a vinyl record, a customer holding a ramen bowl, a musician holding a shamisen, a girl holding a paper umbrella, a boy holding a red paper lantern. Plain solid deep indigo background, no scenery, no floor, no cast shadows. Characters in the lower two-thirds of the image, leave the top third empty for title text. 16:9. Cheerful and playful. No text, no letters, no logos, no watermark.</t>
        </is>
      </c>
    </row>
    <row r="6">
      <c r="A6" s="3" t="n">
        <v>5</v>
      </c>
      <c r="B6" s="3" t="inlineStr">
        <is>
          <t>木魚ビート僧、昼寝する小僧さん</t>
        </is>
      </c>
      <c r="C6" s="3" t="inlineStr">
        <is>
          <t>本堂で僧が木魚を刻み、縁側で小僧が昼寝</t>
        </is>
      </c>
      <c r="D6" s="3" t="inlineStr">
        <is>
          <t>昼・春</t>
        </is>
      </c>
      <c r="E6" s="3" t="inlineStr">
        <is>
          <t>Zen lo-fi hip hop</t>
        </is>
      </c>
      <c r="F6" s="3" t="inlineStr">
        <is>
          <t>1.5時間</t>
        </is>
      </c>
      <c r="G6" s="3" t="inlineStr">
        <is>
          <t>門前の小僧、習わぬビートを刻む｜和風 Jazzy HipHop｜作業・通勤・ドライブBGM</t>
        </is>
      </c>
      <c r="H6" s="3" t="inlineStr">
        <is>
          <t>ことわざ「門前の小僧習わぬ経を読む」の経をビートに</t>
        </is>
      </c>
      <c r="I6" s="3" t="inlineStr">
        <is>
          <t>木魚／眠る小僧と猫／桜</t>
        </is>
      </c>
      <c r="J6"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cheerful monk holding a mokugyo, the novice monk boy holding a broom, a small cat sitting upright, a monk holding a small bell, a novice holding a teacup, a monk wearing big headphones. Plain solid pale cherry blossom pink background, no scenery, no floor, no cast shadows. Characters in the lower two-thirds of the image, leave the top third empty for title text. 16:9. Cheerful and playful. No text, no letters, no logos, no watermark.</t>
        </is>
      </c>
    </row>
    <row r="7">
      <c r="A7" s="3" t="n">
        <v>6</v>
      </c>
      <c r="B7" s="3" t="inlineStr">
        <is>
          <t>阿波踊り連、太鼓の鬼</t>
        </is>
      </c>
      <c r="C7" s="3" t="inlineStr">
        <is>
          <t>祭り櫓で鬼が太鼓、提灯の道を連が踊る</t>
        </is>
      </c>
      <c r="D7" s="3" t="inlineStr">
        <is>
          <t>夜・夏祭り</t>
        </is>
      </c>
      <c r="E7" s="3" t="inlineStr">
        <is>
          <t>Japanese breakbeat groove</t>
        </is>
      </c>
      <c r="F7" s="3" t="inlineStr">
        <is>
          <t>1時間</t>
        </is>
      </c>
      <c r="G7" s="3" t="inlineStr">
        <is>
          <t>来年の話をしたら、鬼が踊りだした｜和風 Jazzy HipHop｜作業・通勤・ドライブBGM</t>
        </is>
      </c>
      <c r="H7" s="3" t="inlineStr">
        <is>
          <t>ことわざ「来年のことを言えば鬼が笑う」の「笑う」を「踊る」に</t>
        </is>
      </c>
      <c r="I7" s="3" t="inlineStr">
        <is>
          <t>踊る連／太鼓の鬼／提灯</t>
        </is>
      </c>
      <c r="J7"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friendly oni with vermilion skin holding a taiko drum, an Awa-odori dancer in an indigo happi coat holding an uchiwa fan, a dancer holding a kane bell, a dancer playing a shinobue flute, a female dancer in a straw hat with raised hands, a dancer holding a paper lantern. Plain solid mustard yellow background, no scenery, no floor, no cast shadows. Characters in the lower two-thirds of the image, leave the top third empty for title text. 16:9. Cheerful and playful. No text, no letters, no logos, no watermark.</t>
        </is>
      </c>
    </row>
    <row r="8">
      <c r="A8" s="3" t="n">
        <v>7</v>
      </c>
      <c r="B8" s="3" t="inlineStr">
        <is>
          <t>巫女、狐の嫁入り</t>
        </is>
      </c>
      <c r="C8" s="3" t="inlineStr">
        <is>
          <t>神社の境内を狐の行列が通り、巫女が見送る</t>
        </is>
      </c>
      <c r="D8" s="3" t="inlineStr">
        <is>
          <t>夕方・秋（天気雨）</t>
        </is>
      </c>
      <c r="E8" s="3" t="inlineStr">
        <is>
          <t>Dreamy Japanese jazzhop</t>
        </is>
      </c>
      <c r="F8" s="3" t="inlineStr">
        <is>
          <t>1.5時間</t>
        </is>
      </c>
      <c r="G8" s="3" t="inlineStr">
        <is>
          <t>狐の嫁入り、晴れときどき参列｜和風 Jazzy HipHop｜作業・通勤・ドライブBGM</t>
        </is>
      </c>
      <c r="H8" s="3" t="inlineStr">
        <is>
          <t>天気予報の「晴れときどき雨」×狐の嫁入りの参列</t>
        </is>
      </c>
      <c r="I8" s="3" t="inlineStr">
        <is>
          <t>狐の行列／鳥居／和傘</t>
        </is>
      </c>
      <c r="J8"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shrine maiden in vermilion hakama holding kagura bells, a fox bride in white holding a vermilion umbrella, a fox holding a paper lantern, a fox holding a shinobue flute, a fox holding a small umbrella, a fox wearing big headphones. Plain solid matcha green background, no scenery, no floor, no cast shadows. Characters in the lower two-thirds of the image, leave the top third empty for title text. 16:9. Cheerful and playful. No text, no letters, no logos, no watermark.</t>
        </is>
      </c>
    </row>
    <row r="9">
      <c r="A9" s="3" t="n">
        <v>8</v>
      </c>
      <c r="B9" s="3" t="inlineStr">
        <is>
          <t>平安貴族（蹴鞠）、陰陽師、稚児</t>
        </is>
      </c>
      <c r="C9" s="3" t="inlineStr">
        <is>
          <t>藤棚の庭で蹴鞠、夜は陰陽師が星を読む</t>
        </is>
      </c>
      <c r="D9" s="3" t="inlineStr">
        <is>
          <t>昼〜夜・春</t>
        </is>
      </c>
      <c r="E9" s="3" t="inlineStr">
        <is>
          <t>Japanese bossa jazzhop</t>
        </is>
      </c>
      <c r="F9" s="3" t="inlineStr">
        <is>
          <t>2時間</t>
        </is>
      </c>
      <c r="G9" s="3" t="inlineStr">
        <is>
          <t>春はあけぼの、夜は陰陽師｜和風 Jazzy HipHop｜作業・通勤・ドライブBGM</t>
        </is>
      </c>
      <c r="H9" s="3" t="inlineStr">
        <is>
          <t>枕草子「春はあけぼの」のもじり。昼は蹴鞠、夜は星読み</t>
        </is>
      </c>
      <c r="I9" s="3" t="inlineStr">
        <is>
          <t>蹴鞠／藤棚／星空</t>
        </is>
      </c>
      <c r="J9"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a Heian noble in an indigo robe holding a kemari ball, the onmyoji in white with a small floating light above his hand, the festival child holding a bell, a court lady holding a folding fan, a musician holding a ryuteki flute, a noble holding a tsuzumi hand drum. Plain solid soft indigo blue background, no scenery, no floor, no cast shadows. Characters in the lower two-thirds of the image, leave the top third empty for title text. 16:9. Cheerful and playful. No text, no letters, no logos, no watermark.</t>
        </is>
      </c>
    </row>
    <row r="10">
      <c r="A10" s="3" t="n">
        <v>9</v>
      </c>
      <c r="B10" s="3" t="inlineStr">
        <is>
          <t>獅子舞、若殿と家臣団、招き猫（追加）</t>
        </is>
      </c>
      <c r="C10" s="3" t="inlineStr">
        <is>
          <t>正月の城下町で獅子舞が若殿の前で舞う</t>
        </is>
      </c>
      <c r="D10" s="3" t="inlineStr">
        <is>
          <t>朝・正月</t>
        </is>
      </c>
      <c r="E10" s="3" t="inlineStr">
        <is>
          <t>Japanese jazz-funk groove</t>
        </is>
      </c>
      <c r="F10" s="3" t="inlineStr">
        <is>
          <t>1時間</t>
        </is>
      </c>
      <c r="G10" s="3" t="inlineStr">
        <is>
          <t>笑う門には、獅子きたる｜和風 Jazzy HipHop｜作業・通勤・ドライブBGM</t>
        </is>
      </c>
      <c r="H10" s="3" t="inlineStr">
        <is>
          <t>ことわざ「笑う門には福来る」の福を獅子舞に</t>
        </is>
      </c>
      <c r="I10" s="3" t="inlineStr">
        <is>
          <t>獅子舞／若殿／「福」</t>
        </is>
      </c>
      <c r="J10"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shishimai lion dancer with a red lion head, the young lord in a gold kamishimo, the maneki-neko cat beckoning with one paw, a retainer in indigo holding a small taiko drum, a retainer holding a shinobue flute, a retainer holding a New Year kite. Plain solid vermilion red background, no scenery, no floor, no cast shadows. Characters in the lower two-thirds of the image, leave the top third empty for title text. 16:9. Cheerful and playful. No text, no letters, no logos, no watermark.</t>
        </is>
      </c>
    </row>
    <row r="11">
      <c r="A11" s="3" t="n">
        <v>10</v>
      </c>
      <c r="B11" s="3" t="inlineStr">
        <is>
          <t>花魁（三味線持ち）、歌舞伎役者、琵琶法師（追加）</t>
        </is>
      </c>
      <c r="C11" s="3" t="inlineStr">
        <is>
          <t>芝居小屋の夜。三味線・琵琶の競演と見得</t>
        </is>
      </c>
      <c r="D11" s="3" t="inlineStr">
        <is>
          <t>夜・冬</t>
        </is>
      </c>
      <c r="E11" s="3" t="inlineStr">
        <is>
          <t>Japanese jazzhop / boom bap</t>
        </is>
      </c>
      <c r="F11" s="3" t="inlineStr">
        <is>
          <t>2時間</t>
        </is>
      </c>
      <c r="G11" s="3" t="inlineStr">
        <is>
          <t>祇園精舎の鐘の声、本日はビートの声｜和風 Jazzy HipHop｜作業・通勤・ドライブBGM</t>
        </is>
      </c>
      <c r="H11" s="3" t="inlineStr">
        <is>
          <t>平家物語の冒頭「祇園精舎の鐘の声」を琵琶法師がビートで語る</t>
        </is>
      </c>
      <c r="I11" s="3" t="inlineStr">
        <is>
          <t>三味線／隈取／提灯</t>
        </is>
      </c>
      <c r="J11" s="12" t="inlineStr">
        <is>
          <t>cute chibi characters (2–2.5 heads tall), thick clean outlines, slightly retro Japanese anime look, muted traditional Japanese colors (indigo, vermilion, mustard yellow, matcha green), soft grain texture. Six chibi characters standing side by side in one straight horizontal row, evenly spaced with clear gaps so no one overlaps, similar height, full body from head to feet, feet on the same baseline, all facing the viewer, simple relaxed standing pose, each holding a different prop. From left to right: the kabuki actor with kumadori makeup holding a folding fan, an elegant musician lady in a modest fully covered kimono holding a shamisen, the biwa player holding a biwa, a stagehand holding hyoshigi wooden clappers, a drummer holding a small taiko drum, a fan waving a paper lantern. Plain solid deep indigo background, no scenery, no floor, no cast shadows. Characters in the lower two-thirds of the image, leave the top third empty for title text. 16:9. Cheerful and playful. No text, no letters, no logos, no watermark.</t>
        </is>
      </c>
    </row>
  </sheetData>
  <autoFilter ref="A1:J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6" customWidth="1" min="3" max="3"/>
    <col width="28" customWidth="1" min="4" max="4"/>
    <col width="40" customWidth="1" min="5" max="5"/>
    <col width="8" customWidth="1" min="6" max="6"/>
    <col width="60" customWidth="1" min="7" max="7"/>
    <col width="44" customWidth="1" min="8" max="8"/>
    <col width="34" customWidth="1" min="9" max="9"/>
  </cols>
  <sheetData>
    <row r="1">
      <c r="A1" s="1" t="inlineStr">
        <is>
          <t>企画No</t>
        </is>
      </c>
      <c r="B1" s="9" t="inlineStr">
        <is>
          <t>【Suno】Title欄（曲タイトル）</t>
        </is>
      </c>
      <c r="C1" s="1" t="inlineStr">
        <is>
          <t>元ネタ・洒落のポイント</t>
        </is>
      </c>
      <c r="D1" s="1" t="inlineStr">
        <is>
          <t>登場キャラ</t>
        </is>
      </c>
      <c r="E1" s="1" t="inlineStr">
        <is>
          <t>題材の伝承・物語</t>
        </is>
      </c>
      <c r="F1" s="1" t="inlineStr">
        <is>
          <t>BPM</t>
        </is>
      </c>
      <c r="G1" s="9" t="inlineStr">
        <is>
          <t>【Suno】Style欄にコピペ</t>
        </is>
      </c>
      <c r="H1" s="9" t="inlineStr">
        <is>
          <t>【Suno】Lyrics欄にコピペ</t>
        </is>
      </c>
      <c r="I1" s="1" t="inlineStr">
        <is>
          <t>lyricsファイル名</t>
        </is>
      </c>
    </row>
    <row r="2">
      <c r="A2" s="3" t="n">
        <v>1</v>
      </c>
      <c r="B2" s="11" t="inlineStr">
        <is>
          <t>麻とびこえて、きょうもワンステップ</t>
        </is>
      </c>
      <c r="C2" s="3" t="inlineStr">
        <is>
          <t>忍者の「麻跳び」修行×ステップアップの掛け言葉</t>
        </is>
      </c>
      <c r="D2" s="3" t="inlineStr">
        <is>
          <t>屋根の上の忍者（ヘッドホン）、見習い忍者</t>
        </is>
      </c>
      <c r="E2" s="3" t="inlineStr">
        <is>
          <t>忍者は麻を植え、毎日伸びる麻を跳び越えて跳躍力を鍛えたという言い伝え</t>
        </is>
      </c>
      <c r="F2" s="3" t="n">
        <v>100</v>
      </c>
      <c r="G2" s="11" t="inlineStr">
        <is>
          <t>Japanese jazzy hip hop, upbeat groove, 100 BPM, punchy boom bap drums, funky bassline, Japanese shakuhachi, Japanese shamisen, taiko drums, energetic male vocal, Japanese lyrics, energetic, bright, head nod</t>
        </is>
      </c>
      <c r="H2" s="11" t="inlineStr">
        <is>
          <t>[Verse]
やねのうえ　つきが　まるい
ヘッドホンから　かぜの　おと
ししょうは　だまって　ゆびさした
きょうも　あさを　とびこえろ
[Chorus]
とんで（はっ）　はねて（それ）　あさを　こえろ
きのうより　すこし　たかく　なれ
まわって　すべって　かわらの　うえ
しのびあしで　ビートに　のれ
[Verse]
たねを　まいた　あの　ひから
あさは　まいにち　のびていく
おいらの　あしも　まけないで
まいにち　ひとつ　ステップアップ
[Chorus]
とんで（はっ）　はねて（それ）　あさを　こえろ
きのうより　すこし　たかく　なれ
まわって　すべって　かわらの　うえ
しのびあしで　ビートに　のれ
[Outro]
しのぶれど（はっ）　でちゃうんだ（それ）</t>
        </is>
      </c>
      <c r="I2" s="3" t="inlineStr">
        <is>
          <t>01_麻とびこえて、きょうもワンステップ.txt</t>
        </is>
      </c>
    </row>
    <row r="3">
      <c r="A3" s="3" t="n">
        <v>2</v>
      </c>
      <c r="B3" s="11" t="inlineStr">
        <is>
          <t>腹が減っては、ビートはできぬ</t>
        </is>
      </c>
      <c r="C3" s="3" t="inlineStr">
        <is>
          <t>ことわざ「腹が減っては戦ができぬ」のもじり</t>
        </is>
      </c>
      <c r="D3" s="3" t="inlineStr">
        <is>
          <t>侍集団の隊長、若侍（レコードを抱える）</t>
        </is>
      </c>
      <c r="E3" s="3" t="inlineStr">
        <is>
          <t>戦の前に握り飯で腹ごしらえをした武士たち。腹ごしらえは何よりの備え</t>
        </is>
      </c>
      <c r="F3" s="3" t="n">
        <v>96</v>
      </c>
      <c r="G3" s="11" t="inlineStr">
        <is>
          <t>Japanese jazzy hip hop, upbeat groove, 96 BPM, punchy boom bap drums, funky bassline, Japanese shamisen, Japanese shakuhachi, taiko drums, energetic male vocal, Japanese lyrics, energetic, bright, head nod</t>
        </is>
      </c>
      <c r="H3" s="11" t="inlineStr">
        <is>
          <t>[Verse]
いしだんに　ならんで　すわる
ゆうやけ　しろの　かげが　のびる
たいちょうが　つつみを　ひらいたら
おおきな　おむすび　ふたつ
[Chorus]
ほおばれ（よいしょ）　たちあがれ（それ）
はらが　へっては　ビートは　できぬ
ふんで　ならして　いしだんを
いっぽ　いっぽ　かけあがれ
[Verse]
わかざむらいは　レコードを
かたなの　かわりに　だいじに　かかえ
はりを　おとせば　まちが　おどる
たいちょうの　くびも　ゆれだした
[Chorus]
ほおばれ（よいしょ）　たちあがれ（それ）
はらが　へっては　ビートは　できぬ
ふんで　ならして　いしだんを
いっぽ　いっぽ　かけあがれ</t>
        </is>
      </c>
      <c r="I3" s="3" t="inlineStr">
        <is>
          <t>02_腹が減っては、ビートはできぬ.txt</t>
        </is>
      </c>
    </row>
    <row r="4">
      <c r="A4" s="3" t="n">
        <v>3</v>
      </c>
      <c r="B4" s="11" t="inlineStr">
        <is>
          <t>鬼に金棒、河童にベース</t>
        </is>
      </c>
      <c r="C4" s="3" t="inlineStr">
        <is>
          <t>ことわざ「鬼に金棒」のもじり。河童にはウッドベースが最強の相棒</t>
        </is>
      </c>
      <c r="D4" s="3" t="inlineStr">
        <is>
          <t>侍の休日（浴衣で縁側）、河童（追加）</t>
        </is>
      </c>
      <c r="E4" s="3" t="inlineStr">
        <is>
          <t>河童は頭の皿の水が乾くと力が抜け、きゅうりが大好物という伝承</t>
        </is>
      </c>
      <c r="F4" s="3" t="n">
        <v>98</v>
      </c>
      <c r="G4" s="11" t="inlineStr">
        <is>
          <t>Japanese jazzy hip hop, upbeat groove, 98 BPM, punchy boom bap drums, funky bassline, Japanese koto, Japanese shamisen, bright female vocal, Japanese lyrics, energetic, bright, head nod</t>
        </is>
      </c>
      <c r="H4" s="11" t="inlineStr">
        <is>
          <t>[Verse]
えんがわで　うちわを　ぱたぱた
すいかの　たねを　とばしたら
かわの　ほうから　ぼん　ぼん　ぼん
かっぱが　ベースを　はじいてる
[Chorus]
はじけ（はっ）　はねろ（それ）　みずしぶき
おにに　かなぼう　かっぱに　ベース
まわれ　まわれ　かざぐるま
なつやすみは　まだ　おわらない
[Verse]
おさらの　みずが　ひからぬように
ときどき　かわへ　とびこんで
きゅうりを　かじって　ひとやすみ
さむらいも　はだしで　かけだした
[Chorus]
はじけ（はっ）　はねろ（それ）　みずしぶき
おにに　かなぼう　かっぱに　ベース
まわれ　まわれ　かざぐるま
なつやすみは　まだ　おわらない</t>
        </is>
      </c>
      <c r="I4" s="3" t="inlineStr">
        <is>
          <t>03_鬼に金棒、河童にベース.txt</t>
        </is>
      </c>
    </row>
    <row r="5">
      <c r="A5" s="3" t="n">
        <v>4</v>
      </c>
      <c r="B5" s="11" t="inlineStr">
        <is>
          <t>二八そばより、十六ビート</t>
        </is>
      </c>
      <c r="C5" s="3" t="inlineStr">
        <is>
          <t>江戸の「二八そば」は2×8＝16。そばの値段と16ビートの掛け算洒落</t>
        </is>
      </c>
      <c r="D5" s="3" t="inlineStr">
        <is>
          <t>屋台の大将、浪人DJ</t>
        </is>
      </c>
      <c r="E5" s="3" t="inlineStr">
        <is>
          <t>江戸の夜鳴きそば。二八そばは「十六文」の値段から来たという説がある</t>
        </is>
      </c>
      <c r="F5" s="3" t="n">
        <v>100</v>
      </c>
      <c r="G5" s="11" t="inlineStr">
        <is>
          <t>Japanese jazzy hip hop, upbeat groove, 100 BPM, punchy boom bap drums, funky bassline, Japanese shamisen, Japanese shakuhachi, energetic male vocal, Japanese lyrics, energetic, bright, head nod</t>
        </is>
      </c>
      <c r="H5" s="11" t="inlineStr">
        <is>
          <t>[Verse]
あめあがり　あかちょうちん
ゆげの　むこうに　あみがさ　ひとつ
たいしょうが　めんを　ちゃっ　ちゃっ　ちゃっ
ろうにんは　さらを　くる　くる　くる
[Chorus]
きざめ（はっ）　ゆらせ（それ）　よるの　まち
にはちそばより　じゅうろくビート
まわせ　まわせ　にまいの　さら
どんぶりも　レコードも　あつあつだ
[Verse]
にはちで　じゅうろく　かけざんで
えどの　よなきそば　うたいだす
みずたまり　はねて　げたが　なる
あさまで　のれんは　おろさない
[Chorus]
きざめ（はっ）　ゆらせ（それ）　よるの　まち
にはちそばより　じゅうろくビート
まわせ　まわせ　にまいの　さら
どんぶりも　レコードも　あつあつだ</t>
        </is>
      </c>
      <c r="I5" s="3" t="inlineStr">
        <is>
          <t>04_二八そばより、十六ビート.txt</t>
        </is>
      </c>
    </row>
    <row r="6">
      <c r="A6" s="3" t="n">
        <v>5</v>
      </c>
      <c r="B6" s="11" t="inlineStr">
        <is>
          <t>魚は眠らず、小僧は眠る</t>
        </is>
      </c>
      <c r="C6" s="3" t="inlineStr">
        <is>
          <t>木魚の由来（魚は眠らない）と昼寝する小僧の対比</t>
        </is>
      </c>
      <c r="D6" s="3" t="inlineStr">
        <is>
          <t>木魚ビート僧、昼寝する小僧さん</t>
        </is>
      </c>
      <c r="E6" s="3" t="inlineStr">
        <is>
          <t>魚は昼も夜も目を閉じないことから、眠らず修行に励めという戒めで木魚が魚の形になったという説</t>
        </is>
      </c>
      <c r="F6" s="3" t="n">
        <v>96</v>
      </c>
      <c r="G6" s="11" t="inlineStr">
        <is>
          <t>Japanese jazzy hip hop, upbeat groove, 96 BPM, punchy boom bap drums, funky bassline, Japanese shakuhachi, Japanese koto, energetic male vocal, Japanese lyrics, energetic, bright, head nod</t>
        </is>
      </c>
      <c r="H6" s="11" t="inlineStr">
        <is>
          <t>[Verse]
ぽく　ぽく　ぽく　と　ほんどうに
もくぎょの　ビートが　ひびいてる
さかなは　ねむらず　めを　あけて
なまけちゃ　だめだと　いうけれど
[Chorus]
たたけ（はっ）　うなずけ（それ）　ぽく　ぽく　ぽん
さかなは　ねむらず　こぞうは　ねむる
さくら　ひらひら　まいおりて
ゆめの　なかでも　ステップ　ふむ
[Verse]
えんがわで　ねこと　まるくなり
ほうきを　まくらに　すう　すう　すう
もんぜんの　こぞうは　ならわずに
ねごとで　ビートを　きざんでる
[Chorus]
たたけ（はっ）　うなずけ（それ）　ぽく　ぽく　ぽん
さかなは　ねむらず　こぞうは　ねむる
さくら　ひらひら　まいおりて
ゆめの　なかでも　ステップ　ふむ</t>
        </is>
      </c>
      <c r="I6" s="3" t="inlineStr">
        <is>
          <t>05_魚は眠らず、小僧は眠る.txt</t>
        </is>
      </c>
    </row>
    <row r="7">
      <c r="A7" s="3" t="n">
        <v>6</v>
      </c>
      <c r="B7" s="11" t="inlineStr">
        <is>
          <t>踊る阿呆に、太鼓たたく鬼</t>
        </is>
      </c>
      <c r="C7" s="3" t="inlineStr">
        <is>
          <t>阿波踊りの「踊る阿呆に見る阿呆」の「見る阿呆」を太鼓の鬼に</t>
        </is>
      </c>
      <c r="D7" s="3" t="inlineStr">
        <is>
          <t>阿波踊り連、太鼓の鬼</t>
        </is>
      </c>
      <c r="E7" s="3" t="inlineStr">
        <is>
          <t>阿波踊りのよしこの節と、鬼の面で太鼓を打つ佐渡の「鬼太鼓」</t>
        </is>
      </c>
      <c r="F7" s="3" t="n">
        <v>104</v>
      </c>
      <c r="G7" s="11" t="inlineStr">
        <is>
          <t>Japanese jazzy hip hop, upbeat groove, 104 BPM, punchy boom bap drums, funky bassline, Japanese shinobue, Japanese shamisen, taiko drums, energetic male vocal, Japanese lyrics, energetic, bright, head nod</t>
        </is>
      </c>
      <c r="H7" s="11" t="inlineStr">
        <is>
          <t>[Verse]
ちょうちんの　あかりが　つづく　みち
てを　あげて　あしを　ふみだせば
やまの　やぐらで　どーん　どーん
おにが　たいこを　たたいてる
[Chorus]
えらいやっちゃ（はっ）　よいよいよい（それ）
おどる　あほうに　たいこ　たたく　おに
まわれ　はねろ　てを　ふれ
おなじ　あほなら　おどらにゃ　そんそん
[Verse]
こわい　かおして　めは　にこにこ
つのも　ゆれてる　リズムに　のって
こどもも　ねこも　おばあちゃんも
ひとつの　わに　なって　まわる
[Chorus]
えらいやっちゃ（はっ）　よいよいよい（それ）
おどる　あほうに　たいこ　たたく　おに
まわれ　はねろ　てを　ふれ
おなじ　あほなら　おどらにゃ　そんそん</t>
        </is>
      </c>
      <c r="I7" s="3" t="inlineStr">
        <is>
          <t>06_踊る阿呆に、太鼓たたく鬼.txt</t>
        </is>
      </c>
    </row>
    <row r="8">
      <c r="A8" s="3" t="n">
        <v>7</v>
      </c>
      <c r="B8" s="11" t="inlineStr">
        <is>
          <t>お天気雨は、狐の招待状</t>
        </is>
      </c>
      <c r="C8" s="3" t="inlineStr">
        <is>
          <t>天気雨＝狐の嫁入りの伝承を「招待状」に見立てた</t>
        </is>
      </c>
      <c r="D8" s="3" t="inlineStr">
        <is>
          <t>巫女、狐の嫁入り</t>
        </is>
      </c>
      <c r="E8" s="3" t="inlineStr">
        <is>
          <t>晴れているのに雨が降るのは、狐が嫁入り行列を人に見られないようにするためという伝承</t>
        </is>
      </c>
      <c r="F8" s="3" t="n">
        <v>96</v>
      </c>
      <c r="G8" s="11" t="inlineStr">
        <is>
          <t>Japanese jazzy hip hop, upbeat groove, 96 BPM, punchy boom bap drums, funky bassline, Japanese koto, Japanese shinobue, bright female vocal, Japanese lyrics, energetic, bright, head nod</t>
        </is>
      </c>
      <c r="H8" s="11" t="inlineStr">
        <is>
          <t>[Verse]
はれているのに　ぽつ　ぽつ　ぽつ
とりいの　むこうが　きらきら　ひかる
みこさん　ほうきを　とめて　みた
ちょうちん　ゆらゆら　ぎょうれつだ
[Chorus]
しゃらん（はっ）　しゃらん（それ）　すずが　なる
おてんきあめは　きつねの　しょうたいじょう
くるり　まわして　あかい　かさ
はねて　わらって　はれのち　あめ
[Verse]
しろい　きものの　はなよめさん
しっぽを　そっと　かくしてる
みつけても　ないしょに　しておこう
にじが　かかれば　おひらきだ
[Chorus]
しゃらん（はっ）　しゃらん（それ）　すずが　なる
おてんきあめは　きつねの　しょうたいじょう
くるり　まわして　あかい　かさ
はねて　わらって　はれのち　あめ</t>
        </is>
      </c>
      <c r="I8" s="3" t="inlineStr">
        <is>
          <t>07_お天気雨は、狐の招待状.txt</t>
        </is>
      </c>
    </row>
    <row r="9">
      <c r="A9" s="3" t="n">
        <v>8</v>
      </c>
      <c r="B9" s="11" t="inlineStr">
        <is>
          <t>いとをかし、いとグルーヴィ</t>
        </is>
      </c>
      <c r="C9" s="3" t="inlineStr">
        <is>
          <t>枕草子の「いとをかし」に今っぽい「グルーヴィ」を重ねた</t>
        </is>
      </c>
      <c r="D9" s="3" t="inlineStr">
        <is>
          <t>平安貴族（蹴鞠）、陰陽師、稚児</t>
        </is>
      </c>
      <c r="E9" s="3" t="inlineStr">
        <is>
          <t>蹴鞠では「アリ」「ヤア」「オウ」と声をかけ合う。鞠の精の名に由来するという言い伝え</t>
        </is>
      </c>
      <c r="F9" s="3" t="n">
        <v>98</v>
      </c>
      <c r="G9" s="11" t="inlineStr">
        <is>
          <t>Japanese jazzy hip hop, upbeat groove, 98 BPM, punchy boom bap drums, funky bassline, Japanese koto, Japanese ryuteki flute, bright female vocal, Japanese lyrics, energetic, bright, head nod</t>
        </is>
      </c>
      <c r="H9" s="11" t="inlineStr">
        <is>
          <t>[Verse]
ふじの　はなが　ゆれる　にわ
きぬの　そでを　ひるがえし
まりを　ぽーんと　けりあげて
おちないように　そらへ　かえす
[Chorus]
ありー（はっ）　やあ（それ）　おう（よいしょ）
いとをかし　いとグルーヴィ
けって　はねて　くるりと　まわれ
まりは　ひるまの　おつきさま
[Verse]
よるが　くれば　おんみょうじ
ほしを　かぞえて　うらなえば
あしたも　はれて　まりびより
ちごも　すずを　しゃんと　ふる
[Chorus]
ありー（はっ）　やあ（それ）　おう（よいしょ）
いとをかし　いとグルーヴィ
けって　はねて　くるりと　まわれ
まりは　ひるまの　おつきさま</t>
        </is>
      </c>
      <c r="I9" s="3" t="inlineStr">
        <is>
          <t>08_いとをかし、いとグルーヴィ.txt</t>
        </is>
      </c>
    </row>
    <row r="10">
      <c r="A10" s="3" t="n">
        <v>9</v>
      </c>
      <c r="B10" s="11" t="inlineStr">
        <is>
          <t>猫の手も、招きたいお正月</t>
        </is>
      </c>
      <c r="C10" s="3" t="inlineStr">
        <is>
          <t>慣用句「猫の手も借りたい」×招き猫の手招き</t>
        </is>
      </c>
      <c r="D10" s="3" t="inlineStr">
        <is>
          <t>獅子舞、若殿と家臣団、招き猫（追加）</t>
        </is>
      </c>
      <c r="E10" s="3" t="inlineStr">
        <is>
          <t>獅子舞に頭を噛まれると邪気が払われ無病息災に。招き猫は右手でお金、左手で人を招くといわれる</t>
        </is>
      </c>
      <c r="F10" s="3" t="n">
        <v>102</v>
      </c>
      <c r="G10" s="11" t="inlineStr">
        <is>
          <t>Japanese jazzy hip hop, upbeat groove, 102 BPM, punchy boom bap drums, funky bassline, Japanese shinobue, Japanese shamisen, taiko drums, energetic male vocal, Japanese lyrics, energetic, bright, head nod</t>
        </is>
      </c>
      <c r="H10" s="11" t="inlineStr">
        <is>
          <t>[Verse]
おしょうがつ　まつかざりの　もん
わかとの　ねぼうで　おおさわぎ
かしんが　ばたばた　はしる　なか
ししまいが　ぱくぱく　やってきた
[Chorus]
かぷっと（はっ）　かまれて（それ）　ふくが　くる
ねこの　ても　まねきたい　いそがしさ
まわれ　おどれ　ししがしら
ことしも　げんきに　いきましょう
[Verse]
しょうてんがいの　まねきねこ
みぎてで　おかね　ひだりで　ひと
わかとのも　まねして　てを　ふれば
えがおが　ぞろぞろ　あつまった
[Chorus]
かぷっと（はっ）　かまれて（それ）　ふくが　くる
ねこの　ても　まねきたい　いそがしさ
まわれ　おどれ　ししがしら
ことしも　げんきに　いきましょう</t>
        </is>
      </c>
      <c r="I10" s="3" t="inlineStr">
        <is>
          <t>09_猫の手も、招きたいお正月.txt</t>
        </is>
      </c>
    </row>
    <row r="11">
      <c r="A11" s="3" t="n">
        <v>10</v>
      </c>
      <c r="B11" s="11" t="inlineStr">
        <is>
          <t>待ってました、と言わせたい</t>
        </is>
      </c>
      <c r="C11" s="3" t="inlineStr">
        <is>
          <t>歌舞伎の大向う（客席からの掛け声）「待ってました！」</t>
        </is>
      </c>
      <c r="D11" s="3" t="inlineStr">
        <is>
          <t>花魁（三味線持ち）、歌舞伎役者、琵琶法師（追加）</t>
        </is>
      </c>
      <c r="E11" s="3" t="inlineStr">
        <is>
          <t>歌舞伎の客席から飛ぶ大向うの掛け声と、平家物語を語り継いだ琵琶法師</t>
        </is>
      </c>
      <c r="F11" s="3" t="n">
        <v>98</v>
      </c>
      <c r="G11" s="11" t="inlineStr">
        <is>
          <t>Japanese jazzy hip hop, upbeat groove, 98 BPM, punchy boom bap drums, funky bassline, Japanese shamisen, Japanese biwa, taiko drums, energetic male vocal, Japanese lyrics, energetic, bright, head nod</t>
        </is>
      </c>
      <c r="H11" s="11" t="inlineStr">
        <is>
          <t>[Verse]
ひょうしぎ　かん　かん　まくが　あく
ちょうちん　ならぶ　しばいごや
しゃみせん　べんべん　たかなれば
びわの　ねいろが　ものがたる
[Chorus]
よっ（はっ）　まってました（それ）
みえを　きるまで　あと　すこし
まわって　ふんで　とん　とん　とん
まってましたと　いわせたい
[Verse]
ぎおんしょうじゃの　かねの　こえ
むかしの　はなしを　いまふうに
ちょんまげ　ゆらして　くびを　ふり
おおむこう　こえが　かかったら
[Chorus]
よっ（はっ）　まってました（それ）
みえを　きるまで　あと　すこし
まわって　ふんで　とん　とん　とん
まってましたと　いわせたい</t>
        </is>
      </c>
      <c r="I11" s="3" t="inlineStr">
        <is>
          <t>10_待ってました、と言わせたい.txt</t>
        </is>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2026-10-04T01:56:09Z</dcterms:created>
  <dcterms:modified xsi:type="dcterms:W3CDTF">2026-10-04T06:24:16Z</dcterms:modified>
</cp:coreProperties>
</file>